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Courses" sheetId="2" r:id="rId2"/>
    <sheet name="Assignments" sheetId="3" r:id="rId3"/>
    <sheet name="Habits" sheetId="4" r:id="rId4"/>
    <sheet name="Books" sheetId="5" r:id="rId5"/>
    <sheet name="Calendar" sheetId="6" r:id="rId6"/>
    <sheet name="Dashboard" sheetId="7" r:id="rId7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<sst xmlns="http://schemas.openxmlformats.org/spreadsheetml/2006/main" count="110" uniqueCount="81">
  <si>
    <t>Student Planner Setup</t>
  </si>
  <si>
    <t>Semester Start</t>
  </si>
  <si>
    <t>Courses List</t>
  </si>
  <si>
    <t>Navigation</t>
  </si>
  <si>
    <t>→ Assignments</t>
  </si>
  <si>
    <t>→ Courses</t>
  </si>
  <si>
    <t>→ Calendar</t>
  </si>
  <si>
    <t>→ Habits</t>
  </si>
  <si>
    <t>→ Books</t>
  </si>
  <si>
    <t>→ Dashboard</t>
  </si>
  <si>
    <t>Code</t>
  </si>
  <si>
    <t>Name</t>
  </si>
  <si>
    <t>Credits</t>
  </si>
  <si>
    <t>Current Grade</t>
  </si>
  <si>
    <t>Target Grade</t>
  </si>
  <si>
    <t>Days</t>
  </si>
  <si>
    <t>Times</t>
  </si>
  <si>
    <t>CE612</t>
  </si>
  <si>
    <t>Fluid Mechanics</t>
  </si>
  <si>
    <t>Mon,Wed</t>
  </si>
  <si>
    <t>09:00</t>
  </si>
  <si>
    <t>CE613</t>
  </si>
  <si>
    <t>Comp. Methods</t>
  </si>
  <si>
    <t>Tue,Thu</t>
  </si>
  <si>
    <t>10:00</t>
  </si>
  <si>
    <t>ART101</t>
  </si>
  <si>
    <t>Art History</t>
  </si>
  <si>
    <t>Fri</t>
  </si>
  <si>
    <t>14:00</t>
  </si>
  <si>
    <t>Grade Progress</t>
  </si>
  <si>
    <t>Assignment Name</t>
  </si>
  <si>
    <t>Course</t>
  </si>
  <si>
    <t>Type</t>
  </si>
  <si>
    <t>Due Date</t>
  </si>
  <si>
    <t>Status</t>
  </si>
  <si>
    <t>Grade</t>
  </si>
  <si>
    <t>Notes</t>
  </si>
  <si>
    <t>Lab Report 1</t>
  </si>
  <si>
    <t>Lab</t>
  </si>
  <si>
    <t>Pending</t>
  </si>
  <si>
    <t>Important</t>
  </si>
  <si>
    <t>Project Proposal</t>
  </si>
  <si>
    <t>Project</t>
  </si>
  <si>
    <t>In Progress</t>
  </si>
  <si>
    <t>Group Work</t>
  </si>
  <si>
    <t>Reading Quiz</t>
  </si>
  <si>
    <t>Quiz</t>
  </si>
  <si>
    <t>Done</t>
  </si>
  <si>
    <t>Days Left</t>
  </si>
  <si>
    <t>Habit Tracker</t>
  </si>
  <si>
    <t>Study 2hrs</t>
  </si>
  <si>
    <t>Gym</t>
  </si>
  <si>
    <t>Read 30min</t>
  </si>
  <si>
    <t>Drink Water</t>
  </si>
  <si>
    <t>Sleep 8hrs</t>
  </si>
  <si>
    <t>Score</t>
  </si>
  <si>
    <t>Title</t>
  </si>
  <si>
    <t>Author</t>
  </si>
  <si>
    <t>Start</t>
  </si>
  <si>
    <t>Finish</t>
  </si>
  <si>
    <t>Rating</t>
  </si>
  <si>
    <t>Days Reading</t>
  </si>
  <si>
    <t>Day</t>
  </si>
  <si>
    <t>Weekday</t>
  </si>
  <si>
    <t>Events</t>
  </si>
  <si>
    <t>🎓 Ultimate Student Dashboard</t>
  </si>
  <si>
    <t>Avg Grade</t>
  </si>
  <si>
    <t>Assignments Due</t>
  </si>
  <si>
    <t>Habit Score</t>
  </si>
  <si>
    <t>Select Course:</t>
  </si>
  <si>
    <t>Mon</t>
  </si>
  <si>
    <t>Tue</t>
  </si>
  <si>
    <t>Wed</t>
  </si>
  <si>
    <t>Thu</t>
  </si>
  <si>
    <t>08:00</t>
  </si>
  <si>
    <t>11:00</t>
  </si>
  <si>
    <t>12:00</t>
  </si>
  <si>
    <t>13:00</t>
  </si>
  <si>
    <t>15:00</t>
  </si>
  <si>
    <t>16:00</t>
  </si>
  <si>
    <t>17:00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</si>
</sst>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0" borderId="0" xfId="1" applyAlignment="1" applyProtection="1"/>
    <xf numFmtId="0" fontId="4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Current Grades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Grade Distribution</c:v>
          </c:tx>
          <c:cat>
            <c:numRef>
              <c:f>CoursesTable[Code]</c:f>
            </c:numRef>
          </c:cat>
          <c:val>
            <c:numRef>
              <c:f>CoursesTable[Current Grade]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Assignment Deadlines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Days Left</c:v>
          </c:tx>
          <c:cat>
            <c:numRef>
              <c:f>AssignTable[Assignment Name]</c:f>
            </c:numRef>
          </c:cat>
          <c:val>
            <c:numRef>
              <c:f>AssignTable[Days Left]</c:f>
              <c:numCache>
                <c:formatCode>General</c:formatCode>
                <c:ptCount val="0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12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ursesTable" displayName="CoursesTable" ref="A1:G10" totalsRowShown="0">
  <autoFilter ref="A1:G10"/>
  <tableColumns count="7">
    <tableColumn id="1" name="Code"/>
    <tableColumn id="2" name="Name"/>
    <tableColumn id="3" name="Credits"/>
    <tableColumn id="4" name="Current Grade"/>
    <tableColumn id="5" name="Target Grade"/>
    <tableColumn id="6" name="Days"/>
    <tableColumn id="7" name="Tim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ssignTable" displayName="AssignTable" ref="A1:G100" totalsRowShown="0">
  <autoFilter ref="A1:G100"/>
  <tableColumns count="7">
    <tableColumn id="1" name="Assignment Name"/>
    <tableColumn id="2" name="Course"/>
    <tableColumn id="3" name="Type"/>
    <tableColumn id="4" name="Due Date"/>
    <tableColumn id="5" name="Status"/>
    <tableColumn id="6" name="Grade"/>
    <tableColumn id="7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BooksTable" displayName="BooksTable" ref="A1:F50" totalsRowShown="0">
  <autoFilter ref="A1:F50"/>
  <tableColumns count="6">
    <tableColumn id="1" name="Title"/>
    <tableColumn id="2" name="Author"/>
    <tableColumn id="3" name="Status"/>
    <tableColumn id="4" name="Start"/>
    <tableColumn id="5" name="Finish"/>
    <tableColumn id="6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>
        <v>46023</v>
      </c>
    </row>
    <row r="4" spans="1:6">
      <c r="A4" s="2" t="s">
        <v>2</v>
      </c>
      <c r="B4" cm="1">
        <f t="array" ref="B4">_xlfn.UNIQUE(CoursesTable[Code])</f>
        <v>0</v>
      </c>
    </row>
    <row r="11" spans="1:6">
      <c r="A11" s="2" t="s">
        <v>3</v>
      </c>
    </row>
    <row r="12" spans="1:6">
      <c r="A12" s="4" t="s">
        <v>4</v>
      </c>
    </row>
    <row r="13" spans="1:6">
      <c r="A13" s="4" t="s">
        <v>5</v>
      </c>
    </row>
    <row r="14" spans="1:6">
      <c r="A14" s="4" t="s">
        <v>6</v>
      </c>
    </row>
    <row r="15" spans="1:6">
      <c r="A15" s="4" t="s">
        <v>7</v>
      </c>
    </row>
    <row r="16" spans="1:6">
      <c r="A16" s="4" t="s">
        <v>8</v>
      </c>
    </row>
    <row r="17" spans="1:1">
      <c r="A17" s="4" t="s">
        <v>9</v>
      </c>
    </row>
  </sheetData>
  <mergeCells count="1">
    <mergeCell ref="A1:F1"/>
  </mergeCells>
  <hyperlinks>
    <hyperlink ref="A12" location="'Assignments!A1'" display="→ Assignments"/>
    <hyperlink ref="A13" location="'Courses!A1'" display="→ Courses"/>
    <hyperlink ref="A14" location="'Calendar!A1'" display="→ Calendar"/>
    <hyperlink ref="A15" location="'Habits!A1'" display="→ Habits"/>
    <hyperlink ref="A16" location="'Books!A1'" display="→ Books"/>
    <hyperlink ref="A17" location="'Dashboard!A1'" display="→ Dashboar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s="5" t="s">
        <v>29</v>
      </c>
    </row>
    <row r="2" spans="1:8">
      <c r="A2" t="s">
        <v>17</v>
      </c>
      <c r="B2" t="s">
        <v>18</v>
      </c>
      <c r="C2">
        <v>4</v>
      </c>
      <c r="D2">
        <v>85</v>
      </c>
      <c r="E2">
        <v>90</v>
      </c>
      <c r="F2" t="s">
        <v>19</v>
      </c>
      <c r="G2" t="s">
        <v>20</v>
      </c>
      <c r="H2">
        <f>[@[Current Grade]]-[@[Target Grade]]</f>
        <v>0</v>
      </c>
    </row>
    <row r="3" spans="1:8">
      <c r="A3" t="s">
        <v>21</v>
      </c>
      <c r="B3" t="s">
        <v>22</v>
      </c>
      <c r="C3">
        <v>4</v>
      </c>
      <c r="D3">
        <v>78</v>
      </c>
      <c r="E3">
        <v>85</v>
      </c>
      <c r="F3" t="s">
        <v>23</v>
      </c>
      <c r="G3" t="s">
        <v>24</v>
      </c>
    </row>
    <row r="4" spans="1:8">
      <c r="A4" t="s">
        <v>25</v>
      </c>
      <c r="B4" t="s">
        <v>26</v>
      </c>
      <c r="C4">
        <v>3</v>
      </c>
      <c r="D4">
        <v>92</v>
      </c>
      <c r="E4">
        <v>95</v>
      </c>
      <c r="F4" t="s">
        <v>27</v>
      </c>
      <c r="G4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5" t="s">
        <v>48</v>
      </c>
    </row>
    <row r="2" spans="1:8">
      <c r="A2" t="s">
        <v>37</v>
      </c>
      <c r="B2" t="s">
        <v>17</v>
      </c>
      <c r="C2" t="s">
        <v>38</v>
      </c>
      <c r="D2" s="3">
        <v>46037</v>
      </c>
      <c r="E2" t="s">
        <v>39</v>
      </c>
      <c r="G2" t="s">
        <v>40</v>
      </c>
      <c r="H2">
        <f>IF([@[Due Date]]="","", [@[Due Date]]-TODAY())</f>
        <v>0</v>
      </c>
    </row>
    <row r="3" spans="1:8">
      <c r="A3" t="s">
        <v>41</v>
      </c>
      <c r="B3" t="s">
        <v>21</v>
      </c>
      <c r="C3" t="s">
        <v>42</v>
      </c>
      <c r="D3" s="3">
        <v>46042</v>
      </c>
      <c r="E3" t="s">
        <v>43</v>
      </c>
      <c r="G3" t="s">
        <v>44</v>
      </c>
    </row>
    <row r="4" spans="1:8">
      <c r="A4" t="s">
        <v>45</v>
      </c>
      <c r="B4" t="s">
        <v>25</v>
      </c>
      <c r="C4" t="s">
        <v>46</v>
      </c>
      <c r="D4" s="3">
        <v>46032</v>
      </c>
      <c r="E4" t="s">
        <v>47</v>
      </c>
      <c r="F4">
        <v>95</v>
      </c>
    </row>
  </sheetData>
  <conditionalFormatting sqref="D2:D100">
    <cfRule type="expression" dxfId="0" priority="1">
      <formula>AND(D2&lt;&gt;"", D2&lt;TODAY())</formula>
    </cfRule>
  </conditionalFormatting>
  <dataValidations count="2">
    <dataValidation type="list" allowBlank="1" showInputMessage="1" showErrorMessage="1" sqref="C2:C100">
      <formula1>"Quiz,Exam,Homework,Lab,Project,Reading"</formula1>
    </dataValidation>
    <dataValidation type="list" allowBlank="1" showInputMessage="1" showErrorMessage="1" sqref="E2:E100">
      <formula1>"Pending,In Progress,Done"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sheetData>
    <row r="1" spans="1:33">
      <c r="A1" s="1" t="s">
        <v>49</v>
      </c>
      <c r="B1" s="3">
        <f>Setup!$B$3 + 0</f>
        <v>0</v>
      </c>
      <c r="C1" s="3">
        <f>Setup!$B$3 + 1</f>
        <v>0</v>
      </c>
      <c r="D1" s="3">
        <f>Setup!$B$3 + 2</f>
        <v>0</v>
      </c>
      <c r="E1" s="3">
        <f>Setup!$B$3 + 3</f>
        <v>0</v>
      </c>
      <c r="F1" s="3">
        <f>Setup!$B$3 + 4</f>
        <v>0</v>
      </c>
      <c r="G1" s="3">
        <f>Setup!$B$3 + 5</f>
        <v>0</v>
      </c>
      <c r="H1" s="3">
        <f>Setup!$B$3 + 6</f>
        <v>0</v>
      </c>
      <c r="I1" s="3">
        <f>Setup!$B$3 + 7</f>
        <v>0</v>
      </c>
      <c r="J1" s="3">
        <f>Setup!$B$3 + 8</f>
        <v>0</v>
      </c>
      <c r="K1" s="3">
        <f>Setup!$B$3 + 9</f>
        <v>0</v>
      </c>
      <c r="L1" s="3">
        <f>Setup!$B$3 + 10</f>
        <v>0</v>
      </c>
      <c r="M1" s="3">
        <f>Setup!$B$3 + 11</f>
        <v>0</v>
      </c>
      <c r="N1" s="3">
        <f>Setup!$B$3 + 12</f>
        <v>0</v>
      </c>
      <c r="O1" s="3">
        <f>Setup!$B$3 + 13</f>
        <v>0</v>
      </c>
      <c r="P1" s="3">
        <f>Setup!$B$3 + 14</f>
        <v>0</v>
      </c>
      <c r="Q1" s="3">
        <f>Setup!$B$3 + 15</f>
        <v>0</v>
      </c>
      <c r="R1" s="3">
        <f>Setup!$B$3 + 16</f>
        <v>0</v>
      </c>
      <c r="S1" s="3">
        <f>Setup!$B$3 + 17</f>
        <v>0</v>
      </c>
      <c r="T1" s="3">
        <f>Setup!$B$3 + 18</f>
        <v>0</v>
      </c>
      <c r="U1" s="3">
        <f>Setup!$B$3 + 19</f>
        <v>0</v>
      </c>
      <c r="V1" s="3">
        <f>Setup!$B$3 + 20</f>
        <v>0</v>
      </c>
      <c r="W1" s="3">
        <f>Setup!$B$3 + 21</f>
        <v>0</v>
      </c>
      <c r="X1" s="3">
        <f>Setup!$B$3 + 22</f>
        <v>0</v>
      </c>
      <c r="Y1" s="3">
        <f>Setup!$B$3 + 23</f>
        <v>0</v>
      </c>
      <c r="Z1" s="3">
        <f>Setup!$B$3 + 24</f>
        <v>0</v>
      </c>
      <c r="AA1" s="3">
        <f>Setup!$B$3 + 25</f>
        <v>0</v>
      </c>
      <c r="AB1" s="3">
        <f>Setup!$B$3 + 26</f>
        <v>0</v>
      </c>
      <c r="AC1" s="3">
        <f>Setup!$B$3 + 27</f>
        <v>0</v>
      </c>
      <c r="AD1" s="3">
        <f>Setup!$B$3 + 28</f>
        <v>0</v>
      </c>
      <c r="AE1" s="3">
        <f>Setup!$B$3 + 29</f>
        <v>0</v>
      </c>
      <c r="AF1" s="3">
        <f>Setup!$B$3 + 30</f>
        <v>0</v>
      </c>
      <c r="AG1" s="5" t="s">
        <v>55</v>
      </c>
    </row>
    <row r="2" spans="1:33">
      <c r="A2" t="s">
        <v>50</v>
      </c>
      <c r="AG2" s="6">
        <f>IF(COUNTA(B2:AF2)=0,0,COUNTIF(B2:AF2,"TRUE")/COUNTA(B2:AF2))</f>
        <v>0</v>
      </c>
    </row>
    <row r="3" spans="1:33">
      <c r="A3" t="s">
        <v>51</v>
      </c>
    </row>
    <row r="4" spans="1:33">
      <c r="A4" t="s">
        <v>52</v>
      </c>
    </row>
    <row r="5" spans="1:33">
      <c r="A5" t="s">
        <v>53</v>
      </c>
    </row>
    <row r="6" spans="1:33">
      <c r="A6" t="s">
        <v>54</v>
      </c>
    </row>
  </sheetData>
  <mergeCells count="1">
    <mergeCell ref="A1:AF1"/>
  </mergeCells>
  <dataValidations count="1">
    <dataValidation type="list" allowBlank="1" showInputMessage="1" showErrorMessage="1" sqref="B2:AF21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56</v>
      </c>
      <c r="B1" t="s">
        <v>57</v>
      </c>
      <c r="C1" t="s">
        <v>34</v>
      </c>
      <c r="D1" t="s">
        <v>58</v>
      </c>
      <c r="E1" t="s">
        <v>59</v>
      </c>
      <c r="F1" t="s">
        <v>60</v>
      </c>
      <c r="G1" s="5" t="s">
        <v>61</v>
      </c>
    </row>
    <row r="2" spans="1:7">
      <c r="G2">
        <f>IF([@Start]="","",IF([@Finish]&lt;&gt;"",[@Finish]-[@Start],TODAY()-[@Start]))</f>
        <v>0</v>
      </c>
    </row>
  </sheetData>
  <dataValidations count="1">
    <dataValidation type="list" allowBlank="1" showInputMessage="1" showErrorMessage="1" sqref="C2:C50">
      <formula1>"Reading,Completed"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5" t="s">
        <v>62</v>
      </c>
      <c r="B1" s="5" t="s">
        <v>63</v>
      </c>
      <c r="C1" s="5" t="s">
        <v>64</v>
      </c>
    </row>
    <row r="2" spans="1:3">
      <c r="A2">
        <v>1</v>
      </c>
      <c r="B2">
        <f>TEXT(=DATE(YEAR(Setup!$B$3), MONTH(Setup!$B$3), A2), "ddd")</f>
        <v>0</v>
      </c>
      <c r="C2">
        <f t="array" ref="C2">=TEXTJOIN(", ", TRUE, IF(DAY(AssignTable[Due Date])=A2, AssignTable[Assignment Name], ""))</f>
        <v>0</v>
      </c>
    </row>
    <row r="3" spans="1:3">
      <c r="A3">
        <v>2</v>
      </c>
      <c r="B3">
        <f>TEXT(=DATE(YEAR(Setup!$B$3), MONTH(Setup!$B$3), A3), "ddd")</f>
        <v>0</v>
      </c>
      <c r="C3">
        <f t="array" ref="C3">=TEXTJOIN(", ", TRUE, IF(DAY(AssignTable[Due Date])=A3, AssignTable[Assignment Name], ""))</f>
        <v>0</v>
      </c>
    </row>
    <row r="4" spans="1:3">
      <c r="A4">
        <v>3</v>
      </c>
      <c r="B4">
        <f>TEXT(=DATE(YEAR(Setup!$B$3), MONTH(Setup!$B$3), A4), "ddd")</f>
        <v>0</v>
      </c>
      <c r="C4">
        <f t="array" ref="C4">=TEXTJOIN(", ", TRUE, IF(DAY(AssignTable[Due Date])=A4, AssignTable[Assignment Name], ""))</f>
        <v>0</v>
      </c>
    </row>
    <row r="5" spans="1:3">
      <c r="A5">
        <v>4</v>
      </c>
      <c r="B5">
        <f>TEXT(=DATE(YEAR(Setup!$B$3), MONTH(Setup!$B$3), A5), "ddd")</f>
        <v>0</v>
      </c>
      <c r="C5">
        <f t="array" ref="C5">=TEXTJOIN(", ", TRUE, IF(DAY(AssignTable[Due Date])=A5, AssignTable[Assignment Name], ""))</f>
        <v>0</v>
      </c>
    </row>
    <row r="6" spans="1:3">
      <c r="A6">
        <v>5</v>
      </c>
      <c r="B6">
        <f>TEXT(=DATE(YEAR(Setup!$B$3), MONTH(Setup!$B$3), A6), "ddd")</f>
        <v>0</v>
      </c>
      <c r="C6">
        <f t="array" ref="C6">=TEXTJOIN(", ", TRUE, IF(DAY(AssignTable[Due Date])=A6, AssignTable[Assignment Name], ""))</f>
        <v>0</v>
      </c>
    </row>
    <row r="7" spans="1:3">
      <c r="A7">
        <v>6</v>
      </c>
      <c r="B7">
        <f>TEXT(=DATE(YEAR(Setup!$B$3), MONTH(Setup!$B$3), A7), "ddd")</f>
        <v>0</v>
      </c>
      <c r="C7">
        <f t="array" ref="C7">=TEXTJOIN(", ", TRUE, IF(DAY(AssignTable[Due Date])=A7, AssignTable[Assignment Name], ""))</f>
        <v>0</v>
      </c>
    </row>
    <row r="8" spans="1:3">
      <c r="A8">
        <v>7</v>
      </c>
      <c r="B8">
        <f>TEXT(=DATE(YEAR(Setup!$B$3), MONTH(Setup!$B$3), A8), "ddd")</f>
        <v>0</v>
      </c>
      <c r="C8">
        <f t="array" ref="C8">=TEXTJOIN(", ", TRUE, IF(DAY(AssignTable[Due Date])=A8, AssignTable[Assignment Name], ""))</f>
        <v>0</v>
      </c>
    </row>
    <row r="9" spans="1:3">
      <c r="A9">
        <v>8</v>
      </c>
      <c r="B9">
        <f>TEXT(=DATE(YEAR(Setup!$B$3), MONTH(Setup!$B$3), A9), "ddd")</f>
        <v>0</v>
      </c>
      <c r="C9">
        <f t="array" ref="C9">=TEXTJOIN(", ", TRUE, IF(DAY(AssignTable[Due Date])=A9, AssignTable[Assignment Name], ""))</f>
        <v>0</v>
      </c>
    </row>
    <row r="10" spans="1:3">
      <c r="A10">
        <v>9</v>
      </c>
      <c r="B10">
        <f>TEXT(=DATE(YEAR(Setup!$B$3), MONTH(Setup!$B$3), A10), "ddd")</f>
        <v>0</v>
      </c>
      <c r="C10">
        <f t="array" ref="C10">=TEXTJOIN(", ", TRUE, IF(DAY(AssignTable[Due Date])=A10, AssignTable[Assignment Name], ""))</f>
        <v>0</v>
      </c>
    </row>
    <row r="11" spans="1:3">
      <c r="A11">
        <v>10</v>
      </c>
      <c r="B11">
        <f>TEXT(=DATE(YEAR(Setup!$B$3), MONTH(Setup!$B$3), A11), "ddd")</f>
        <v>0</v>
      </c>
      <c r="C11">
        <f t="array" ref="C11">=TEXTJOIN(", ", TRUE, IF(DAY(AssignTable[Due Date])=A11, AssignTable[Assignment Name], ""))</f>
        <v>0</v>
      </c>
    </row>
    <row r="12" spans="1:3">
      <c r="A12">
        <v>11</v>
      </c>
      <c r="B12">
        <f>TEXT(=DATE(YEAR(Setup!$B$3), MONTH(Setup!$B$3), A12), "ddd")</f>
        <v>0</v>
      </c>
      <c r="C12">
        <f t="array" ref="C12">=TEXTJOIN(", ", TRUE, IF(DAY(AssignTable[Due Date])=A12, AssignTable[Assignment Name], ""))</f>
        <v>0</v>
      </c>
    </row>
    <row r="13" spans="1:3">
      <c r="A13">
        <v>12</v>
      </c>
      <c r="B13">
        <f>TEXT(=DATE(YEAR(Setup!$B$3), MONTH(Setup!$B$3), A13), "ddd")</f>
        <v>0</v>
      </c>
      <c r="C13">
        <f t="array" ref="C13">=TEXTJOIN(", ", TRUE, IF(DAY(AssignTable[Due Date])=A13, AssignTable[Assignment Name], ""))</f>
        <v>0</v>
      </c>
    </row>
    <row r="14" spans="1:3">
      <c r="A14">
        <v>13</v>
      </c>
      <c r="B14">
        <f>TEXT(=DATE(YEAR(Setup!$B$3), MONTH(Setup!$B$3), A14), "ddd")</f>
        <v>0</v>
      </c>
      <c r="C14">
        <f t="array" ref="C14">=TEXTJOIN(", ", TRUE, IF(DAY(AssignTable[Due Date])=A14, AssignTable[Assignment Name], ""))</f>
        <v>0</v>
      </c>
    </row>
    <row r="15" spans="1:3">
      <c r="A15">
        <v>14</v>
      </c>
      <c r="B15">
        <f>TEXT(=DATE(YEAR(Setup!$B$3), MONTH(Setup!$B$3), A15), "ddd")</f>
        <v>0</v>
      </c>
      <c r="C15">
        <f t="array" ref="C15">=TEXTJOIN(", ", TRUE, IF(DAY(AssignTable[Due Date])=A15, AssignTable[Assignment Name], ""))</f>
        <v>0</v>
      </c>
    </row>
    <row r="16" spans="1:3">
      <c r="A16">
        <v>15</v>
      </c>
      <c r="B16">
        <f>TEXT(=DATE(YEAR(Setup!$B$3), MONTH(Setup!$B$3), A16), "ddd")</f>
        <v>0</v>
      </c>
      <c r="C16">
        <f t="array" ref="C16">=TEXTJOIN(", ", TRUE, IF(DAY(AssignTable[Due Date])=A16, AssignTable[Assignment Name], ""))</f>
        <v>0</v>
      </c>
    </row>
    <row r="17" spans="1:3">
      <c r="A17">
        <v>16</v>
      </c>
      <c r="B17">
        <f>TEXT(=DATE(YEAR(Setup!$B$3), MONTH(Setup!$B$3), A17), "ddd")</f>
        <v>0</v>
      </c>
      <c r="C17">
        <f t="array" ref="C17">=TEXTJOIN(", ", TRUE, IF(DAY(AssignTable[Due Date])=A17, AssignTable[Assignment Name], ""))</f>
        <v>0</v>
      </c>
    </row>
    <row r="18" spans="1:3">
      <c r="A18">
        <v>17</v>
      </c>
      <c r="B18">
        <f>TEXT(=DATE(YEAR(Setup!$B$3), MONTH(Setup!$B$3), A18), "ddd")</f>
        <v>0</v>
      </c>
      <c r="C18">
        <f t="array" ref="C18">=TEXTJOIN(", ", TRUE, IF(DAY(AssignTable[Due Date])=A18, AssignTable[Assignment Name], ""))</f>
        <v>0</v>
      </c>
    </row>
    <row r="19" spans="1:3">
      <c r="A19">
        <v>18</v>
      </c>
      <c r="B19">
        <f>TEXT(=DATE(YEAR(Setup!$B$3), MONTH(Setup!$B$3), A19), "ddd")</f>
        <v>0</v>
      </c>
      <c r="C19">
        <f t="array" ref="C19">=TEXTJOIN(", ", TRUE, IF(DAY(AssignTable[Due Date])=A19, AssignTable[Assignment Name], ""))</f>
        <v>0</v>
      </c>
    </row>
    <row r="20" spans="1:3">
      <c r="A20">
        <v>19</v>
      </c>
      <c r="B20">
        <f>TEXT(=DATE(YEAR(Setup!$B$3), MONTH(Setup!$B$3), A20), "ddd")</f>
        <v>0</v>
      </c>
      <c r="C20">
        <f t="array" ref="C20">=TEXTJOIN(", ", TRUE, IF(DAY(AssignTable[Due Date])=A20, AssignTable[Assignment Name], ""))</f>
        <v>0</v>
      </c>
    </row>
    <row r="21" spans="1:3">
      <c r="A21">
        <v>20</v>
      </c>
      <c r="B21">
        <f>TEXT(=DATE(YEAR(Setup!$B$3), MONTH(Setup!$B$3), A21), "ddd")</f>
        <v>0</v>
      </c>
      <c r="C21">
        <f t="array" ref="C21">=TEXTJOIN(", ", TRUE, IF(DAY(AssignTable[Due Date])=A21, AssignTable[Assignment Name], ""))</f>
        <v>0</v>
      </c>
    </row>
    <row r="22" spans="1:3">
      <c r="A22">
        <v>21</v>
      </c>
      <c r="B22">
        <f>TEXT(=DATE(YEAR(Setup!$B$3), MONTH(Setup!$B$3), A22), "ddd")</f>
        <v>0</v>
      </c>
      <c r="C22">
        <f t="array" ref="C22">=TEXTJOIN(", ", TRUE, IF(DAY(AssignTable[Due Date])=A22, AssignTable[Assignment Name], ""))</f>
        <v>0</v>
      </c>
    </row>
    <row r="23" spans="1:3">
      <c r="A23">
        <v>22</v>
      </c>
      <c r="B23">
        <f>TEXT(=DATE(YEAR(Setup!$B$3), MONTH(Setup!$B$3), A23), "ddd")</f>
        <v>0</v>
      </c>
      <c r="C23">
        <f t="array" ref="C23">=TEXTJOIN(", ", TRUE, IF(DAY(AssignTable[Due Date])=A23, AssignTable[Assignment Name], ""))</f>
        <v>0</v>
      </c>
    </row>
    <row r="24" spans="1:3">
      <c r="A24">
        <v>23</v>
      </c>
      <c r="B24">
        <f>TEXT(=DATE(YEAR(Setup!$B$3), MONTH(Setup!$B$3), A24), "ddd")</f>
        <v>0</v>
      </c>
      <c r="C24">
        <f t="array" ref="C24">=TEXTJOIN(", ", TRUE, IF(DAY(AssignTable[Due Date])=A24, AssignTable[Assignment Name], ""))</f>
        <v>0</v>
      </c>
    </row>
    <row r="25" spans="1:3">
      <c r="A25">
        <v>24</v>
      </c>
      <c r="B25">
        <f>TEXT(=DATE(YEAR(Setup!$B$3), MONTH(Setup!$B$3), A25), "ddd")</f>
        <v>0</v>
      </c>
      <c r="C25">
        <f t="array" ref="C25">=TEXTJOIN(", ", TRUE, IF(DAY(AssignTable[Due Date])=A25, AssignTable[Assignment Name], ""))</f>
        <v>0</v>
      </c>
    </row>
    <row r="26" spans="1:3">
      <c r="A26">
        <v>25</v>
      </c>
      <c r="B26">
        <f>TEXT(=DATE(YEAR(Setup!$B$3), MONTH(Setup!$B$3), A26), "ddd")</f>
        <v>0</v>
      </c>
      <c r="C26">
        <f t="array" ref="C26">=TEXTJOIN(", ", TRUE, IF(DAY(AssignTable[Due Date])=A26, AssignTable[Assignment Name], ""))</f>
        <v>0</v>
      </c>
    </row>
    <row r="27" spans="1:3">
      <c r="A27">
        <v>26</v>
      </c>
      <c r="B27">
        <f>TEXT(=DATE(YEAR(Setup!$B$3), MONTH(Setup!$B$3), A27), "ddd")</f>
        <v>0</v>
      </c>
      <c r="C27">
        <f t="array" ref="C27">=TEXTJOIN(", ", TRUE, IF(DAY(AssignTable[Due Date])=A27, AssignTable[Assignment Name], ""))</f>
        <v>0</v>
      </c>
    </row>
    <row r="28" spans="1:3">
      <c r="A28">
        <v>27</v>
      </c>
      <c r="B28">
        <f>TEXT(=DATE(YEAR(Setup!$B$3), MONTH(Setup!$B$3), A28), "ddd")</f>
        <v>0</v>
      </c>
      <c r="C28">
        <f t="array" ref="C28">=TEXTJOIN(", ", TRUE, IF(DAY(AssignTable[Due Date])=A28, AssignTable[Assignment Name], ""))</f>
        <v>0</v>
      </c>
    </row>
    <row r="29" spans="1:3">
      <c r="A29">
        <v>28</v>
      </c>
      <c r="B29">
        <f>TEXT(=DATE(YEAR(Setup!$B$3), MONTH(Setup!$B$3), A29), "ddd")</f>
        <v>0</v>
      </c>
      <c r="C29">
        <f t="array" ref="C29">=TEXTJOIN(", ", TRUE, IF(DAY(AssignTable[Due Date])=A29, AssignTable[Assignment Name], ""))</f>
        <v>0</v>
      </c>
    </row>
    <row r="30" spans="1:3">
      <c r="A30">
        <v>29</v>
      </c>
      <c r="B30">
        <f>TEXT(=DATE(YEAR(Setup!$B$3), MONTH(Setup!$B$3), A30), "ddd")</f>
        <v>0</v>
      </c>
      <c r="C30">
        <f t="array" ref="C30">=TEXTJOIN(", ", TRUE, IF(DAY(AssignTable[Due Date])=A30, AssignTable[Assignment Name], ""))</f>
        <v>0</v>
      </c>
    </row>
    <row r="31" spans="1:3">
      <c r="A31">
        <v>30</v>
      </c>
      <c r="B31">
        <f>TEXT(=DATE(YEAR(Setup!$B$3), MONTH(Setup!$B$3), A31), "ddd")</f>
        <v>0</v>
      </c>
      <c r="C31">
        <f t="array" ref="C31">=TEXTJOIN(", ", TRUE, IF(DAY(AssignTable[Due Date])=A31, AssignTable[Assignment Name], ""))</f>
        <v>0</v>
      </c>
    </row>
    <row r="32" spans="1:3">
      <c r="A32">
        <v>31</v>
      </c>
      <c r="B32">
        <f>TEXT(=DATE(YEAR(Setup!$B$3), MONTH(Setup!$B$3), A32), "ddd")</f>
        <v>0</v>
      </c>
      <c r="C32">
        <f t="array" ref="C32">=TEXTJOIN(", ", TRUE, IF(DAY(AssignTable[Due Date])=A32, AssignTable[Assignment Name], ""))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7" t="s">
        <v>65</v>
      </c>
      <c r="B1" s="7"/>
      <c r="C1" s="7"/>
      <c r="D1" s="7"/>
      <c r="E1" s="7"/>
      <c r="F1" s="7"/>
      <c r="G1" s="7"/>
    </row>
    <row r="2" spans="1:7">
      <c r="A2" s="7"/>
      <c r="B2" s="7"/>
      <c r="C2" s="7"/>
      <c r="D2" s="7"/>
      <c r="E2" s="7"/>
      <c r="F2" s="7"/>
      <c r="G2" s="7"/>
    </row>
    <row r="4" spans="1:7">
      <c r="A4" s="2" t="s">
        <v>66</v>
      </c>
      <c r="B4">
        <f>IFERROR(AVERAGE(CoursesTable[Current Grade]), 0)</f>
        <v>0</v>
      </c>
    </row>
    <row r="5" spans="1:7">
      <c r="A5" s="2" t="s">
        <v>67</v>
      </c>
      <c r="B5">
        <f>COUNTIFS(AssignTable[Status],"Pending",AssignTable[Due Date],"&lt;="&amp;TODAY()+7)</f>
        <v>0</v>
      </c>
    </row>
    <row r="6" spans="1:7">
      <c r="A6" s="2" t="s">
        <v>68</v>
      </c>
      <c r="B6" s="6">
        <f>AVERAGE(Habits!AG:AG)</f>
        <v>0</v>
      </c>
    </row>
    <row r="12" spans="1:7">
      <c r="A12" s="2" t="s">
        <v>69</v>
      </c>
      <c r="B12" s="5" t="s">
        <v>70</v>
      </c>
      <c r="C12" s="5" t="s">
        <v>71</v>
      </c>
      <c r="D12" s="5" t="s">
        <v>72</v>
      </c>
      <c r="E12" s="5" t="s">
        <v>73</v>
      </c>
      <c r="F12" s="5" t="s">
        <v>27</v>
      </c>
    </row>
    <row r="13" spans="1:7">
      <c r="A13" t="s">
        <v>17</v>
      </c>
    </row>
    <row r="14" spans="1:7">
      <c r="A14" s="8" t="s">
        <v>74</v>
      </c>
      <c r="B14" s="8">
        <f>IF(SUMPRODUCT((CoursesTable[Code]=$A$13)*(ISNUMBER(SEARCH("Mon",CoursesTable[Days])))*(CoursesTable[Times]=$A14)), "CLASS", "")</f>
        <v>0</v>
      </c>
      <c r="C14" s="8">
        <f>IF(SUMPRODUCT((CoursesTable[Code]=$A$13)*(ISNUMBER(SEARCH("Tue",CoursesTable[Days])))*(CoursesTable[Times]=$A14)), "CLASS", "")</f>
        <v>0</v>
      </c>
      <c r="D14" s="8">
        <f>IF(SUMPRODUCT((CoursesTable[Code]=$A$13)*(ISNUMBER(SEARCH("Wed",CoursesTable[Days])))*(CoursesTable[Times]=$A14)), "CLASS", "")</f>
        <v>0</v>
      </c>
      <c r="E14" s="8">
        <f>IF(SUMPRODUCT((CoursesTable[Code]=$A$13)*(ISNUMBER(SEARCH("Thu",CoursesTable[Days])))*(CoursesTable[Times]=$A14)), "CLASS", "")</f>
        <v>0</v>
      </c>
      <c r="F14" s="8">
        <f>IF(SUMPRODUCT((CoursesTable[Code]=$A$13)*(ISNUMBER(SEARCH("Fri",CoursesTable[Days])))*(CoursesTable[Times]=$A14)), "CLASS", "")</f>
        <v>0</v>
      </c>
    </row>
    <row r="15" spans="1:7">
      <c r="A15" s="8" t="s">
        <v>20</v>
      </c>
      <c r="B15" s="8">
        <f>IF(SUMPRODUCT((CoursesTable[Code]=$A$13)*(ISNUMBER(SEARCH("Mon",CoursesTable[Days])))*(CoursesTable[Times]=$A15)), "CLASS", "")</f>
        <v>0</v>
      </c>
      <c r="C15" s="8">
        <f>IF(SUMPRODUCT((CoursesTable[Code]=$A$13)*(ISNUMBER(SEARCH("Tue",CoursesTable[Days])))*(CoursesTable[Times]=$A15)), "CLASS", "")</f>
        <v>0</v>
      </c>
      <c r="D15" s="8">
        <f>IF(SUMPRODUCT((CoursesTable[Code]=$A$13)*(ISNUMBER(SEARCH("Wed",CoursesTable[Days])))*(CoursesTable[Times]=$A15)), "CLASS", "")</f>
        <v>0</v>
      </c>
      <c r="E15" s="8">
        <f>IF(SUMPRODUCT((CoursesTable[Code]=$A$13)*(ISNUMBER(SEARCH("Thu",CoursesTable[Days])))*(CoursesTable[Times]=$A15)), "CLASS", "")</f>
        <v>0</v>
      </c>
      <c r="F15" s="8">
        <f>IF(SUMPRODUCT((CoursesTable[Code]=$A$13)*(ISNUMBER(SEARCH("Fri",CoursesTable[Days])))*(CoursesTable[Times]=$A15)), "CLASS", "")</f>
        <v>0</v>
      </c>
    </row>
    <row r="16" spans="1:7">
      <c r="A16" s="8" t="s">
        <v>24</v>
      </c>
      <c r="B16" s="8">
        <f>IF(SUMPRODUCT((CoursesTable[Code]=$A$13)*(ISNUMBER(SEARCH("Mon",CoursesTable[Days])))*(CoursesTable[Times]=$A16)), "CLASS", "")</f>
        <v>0</v>
      </c>
      <c r="C16" s="8">
        <f>IF(SUMPRODUCT((CoursesTable[Code]=$A$13)*(ISNUMBER(SEARCH("Tue",CoursesTable[Days])))*(CoursesTable[Times]=$A16)), "CLASS", "")</f>
        <v>0</v>
      </c>
      <c r="D16" s="8">
        <f>IF(SUMPRODUCT((CoursesTable[Code]=$A$13)*(ISNUMBER(SEARCH("Wed",CoursesTable[Days])))*(CoursesTable[Times]=$A16)), "CLASS", "")</f>
        <v>0</v>
      </c>
      <c r="E16" s="8">
        <f>IF(SUMPRODUCT((CoursesTable[Code]=$A$13)*(ISNUMBER(SEARCH("Thu",CoursesTable[Days])))*(CoursesTable[Times]=$A16)), "CLASS", "")</f>
        <v>0</v>
      </c>
      <c r="F16" s="8">
        <f>IF(SUMPRODUCT((CoursesTable[Code]=$A$13)*(ISNUMBER(SEARCH("Fri",CoursesTable[Days])))*(CoursesTable[Times]=$A16)), "CLASS", "")</f>
        <v>0</v>
      </c>
    </row>
    <row r="17" spans="1:6">
      <c r="A17" s="8" t="s">
        <v>75</v>
      </c>
      <c r="B17" s="8">
        <f>IF(SUMPRODUCT((CoursesTable[Code]=$A$13)*(ISNUMBER(SEARCH("Mon",CoursesTable[Days])))*(CoursesTable[Times]=$A17)), "CLASS", "")</f>
        <v>0</v>
      </c>
      <c r="C17" s="8">
        <f>IF(SUMPRODUCT((CoursesTable[Code]=$A$13)*(ISNUMBER(SEARCH("Tue",CoursesTable[Days])))*(CoursesTable[Times]=$A17)), "CLASS", "")</f>
        <v>0</v>
      </c>
      <c r="D17" s="8">
        <f>IF(SUMPRODUCT((CoursesTable[Code]=$A$13)*(ISNUMBER(SEARCH("Wed",CoursesTable[Days])))*(CoursesTable[Times]=$A17)), "CLASS", "")</f>
        <v>0</v>
      </c>
      <c r="E17" s="8">
        <f>IF(SUMPRODUCT((CoursesTable[Code]=$A$13)*(ISNUMBER(SEARCH("Thu",CoursesTable[Days])))*(CoursesTable[Times]=$A17)), "CLASS", "")</f>
        <v>0</v>
      </c>
      <c r="F17" s="8">
        <f>IF(SUMPRODUCT((CoursesTable[Code]=$A$13)*(ISNUMBER(SEARCH("Fri",CoursesTable[Days])))*(CoursesTable[Times]=$A17)), "CLASS", "")</f>
        <v>0</v>
      </c>
    </row>
    <row r="18" spans="1:6">
      <c r="A18" s="8" t="s">
        <v>76</v>
      </c>
      <c r="B18" s="8">
        <f>IF(SUMPRODUCT((CoursesTable[Code]=$A$13)*(ISNUMBER(SEARCH("Mon",CoursesTable[Days])))*(CoursesTable[Times]=$A18)), "CLASS", "")</f>
        <v>0</v>
      </c>
      <c r="C18" s="8">
        <f>IF(SUMPRODUCT((CoursesTable[Code]=$A$13)*(ISNUMBER(SEARCH("Tue",CoursesTable[Days])))*(CoursesTable[Times]=$A18)), "CLASS", "")</f>
        <v>0</v>
      </c>
      <c r="D18" s="8">
        <f>IF(SUMPRODUCT((CoursesTable[Code]=$A$13)*(ISNUMBER(SEARCH("Wed",CoursesTable[Days])))*(CoursesTable[Times]=$A18)), "CLASS", "")</f>
        <v>0</v>
      </c>
      <c r="E18" s="8">
        <f>IF(SUMPRODUCT((CoursesTable[Code]=$A$13)*(ISNUMBER(SEARCH("Thu",CoursesTable[Days])))*(CoursesTable[Times]=$A18)), "CLASS", "")</f>
        <v>0</v>
      </c>
      <c r="F18" s="8">
        <f>IF(SUMPRODUCT((CoursesTable[Code]=$A$13)*(ISNUMBER(SEARCH("Fri",CoursesTable[Days])))*(CoursesTable[Times]=$A18)), "CLASS", "")</f>
        <v>0</v>
      </c>
    </row>
    <row r="19" spans="1:6">
      <c r="A19" s="8" t="s">
        <v>77</v>
      </c>
      <c r="B19" s="8">
        <f>IF(SUMPRODUCT((CoursesTable[Code]=$A$13)*(ISNUMBER(SEARCH("Mon",CoursesTable[Days])))*(CoursesTable[Times]=$A19)), "CLASS", "")</f>
        <v>0</v>
      </c>
      <c r="C19" s="8">
        <f>IF(SUMPRODUCT((CoursesTable[Code]=$A$13)*(ISNUMBER(SEARCH("Tue",CoursesTable[Days])))*(CoursesTable[Times]=$A19)), "CLASS", "")</f>
        <v>0</v>
      </c>
      <c r="D19" s="8">
        <f>IF(SUMPRODUCT((CoursesTable[Code]=$A$13)*(ISNUMBER(SEARCH("Wed",CoursesTable[Days])))*(CoursesTable[Times]=$A19)), "CLASS", "")</f>
        <v>0</v>
      </c>
      <c r="E19" s="8">
        <f>IF(SUMPRODUCT((CoursesTable[Code]=$A$13)*(ISNUMBER(SEARCH("Thu",CoursesTable[Days])))*(CoursesTable[Times]=$A19)), "CLASS", "")</f>
        <v>0</v>
      </c>
      <c r="F19" s="8">
        <f>IF(SUMPRODUCT((CoursesTable[Code]=$A$13)*(ISNUMBER(SEARCH("Fri",CoursesTable[Days])))*(CoursesTable[Times]=$A19)), "CLASS", "")</f>
        <v>0</v>
      </c>
    </row>
    <row r="20" spans="1:6">
      <c r="A20" s="8" t="s">
        <v>28</v>
      </c>
      <c r="B20" s="8">
        <f>IF(SUMPRODUCT((CoursesTable[Code]=$A$13)*(ISNUMBER(SEARCH("Mon",CoursesTable[Days])))*(CoursesTable[Times]=$A20)), "CLASS", "")</f>
        <v>0</v>
      </c>
      <c r="C20" s="8">
        <f>IF(SUMPRODUCT((CoursesTable[Code]=$A$13)*(ISNUMBER(SEARCH("Tue",CoursesTable[Days])))*(CoursesTable[Times]=$A20)), "CLASS", "")</f>
        <v>0</v>
      </c>
      <c r="D20" s="8">
        <f>IF(SUMPRODUCT((CoursesTable[Code]=$A$13)*(ISNUMBER(SEARCH("Wed",CoursesTable[Days])))*(CoursesTable[Times]=$A20)), "CLASS", "")</f>
        <v>0</v>
      </c>
      <c r="E20" s="8">
        <f>IF(SUMPRODUCT((CoursesTable[Code]=$A$13)*(ISNUMBER(SEARCH("Thu",CoursesTable[Days])))*(CoursesTable[Times]=$A20)), "CLASS", "")</f>
        <v>0</v>
      </c>
      <c r="F20" s="8">
        <f>IF(SUMPRODUCT((CoursesTable[Code]=$A$13)*(ISNUMBER(SEARCH("Fri",CoursesTable[Days])))*(CoursesTable[Times]=$A20)), "CLASS", "")</f>
        <v>0</v>
      </c>
    </row>
    <row r="21" spans="1:6">
      <c r="A21" s="8" t="s">
        <v>78</v>
      </c>
      <c r="B21" s="8">
        <f>IF(SUMPRODUCT((CoursesTable[Code]=$A$13)*(ISNUMBER(SEARCH("Mon",CoursesTable[Days])))*(CoursesTable[Times]=$A21)), "CLASS", "")</f>
        <v>0</v>
      </c>
      <c r="C21" s="8">
        <f>IF(SUMPRODUCT((CoursesTable[Code]=$A$13)*(ISNUMBER(SEARCH("Tue",CoursesTable[Days])))*(CoursesTable[Times]=$A21)), "CLASS", "")</f>
        <v>0</v>
      </c>
      <c r="D21" s="8">
        <f>IF(SUMPRODUCT((CoursesTable[Code]=$A$13)*(ISNUMBER(SEARCH("Wed",CoursesTable[Days])))*(CoursesTable[Times]=$A21)), "CLASS", "")</f>
        <v>0</v>
      </c>
      <c r="E21" s="8">
        <f>IF(SUMPRODUCT((CoursesTable[Code]=$A$13)*(ISNUMBER(SEARCH("Thu",CoursesTable[Days])))*(CoursesTable[Times]=$A21)), "CLASS", "")</f>
        <v>0</v>
      </c>
      <c r="F21" s="8">
        <f>IF(SUMPRODUCT((CoursesTable[Code]=$A$13)*(ISNUMBER(SEARCH("Fri",CoursesTable[Days])))*(CoursesTable[Times]=$A21)), "CLASS", "")</f>
        <v>0</v>
      </c>
    </row>
    <row r="22" spans="1:6">
      <c r="A22" s="8" t="s">
        <v>79</v>
      </c>
      <c r="B22" s="8">
        <f>IF(SUMPRODUCT((CoursesTable[Code]=$A$13)*(ISNUMBER(SEARCH("Mon",CoursesTable[Days])))*(CoursesTable[Times]=$A22)), "CLASS", "")</f>
        <v>0</v>
      </c>
      <c r="C22" s="8">
        <f>IF(SUMPRODUCT((CoursesTable[Code]=$A$13)*(ISNUMBER(SEARCH("Tue",CoursesTable[Days])))*(CoursesTable[Times]=$A22)), "CLASS", "")</f>
        <v>0</v>
      </c>
      <c r="D22" s="8">
        <f>IF(SUMPRODUCT((CoursesTable[Code]=$A$13)*(ISNUMBER(SEARCH("Wed",CoursesTable[Days])))*(CoursesTable[Times]=$A22)), "CLASS", "")</f>
        <v>0</v>
      </c>
      <c r="E22" s="8">
        <f>IF(SUMPRODUCT((CoursesTable[Code]=$A$13)*(ISNUMBER(SEARCH("Thu",CoursesTable[Days])))*(CoursesTable[Times]=$A22)), "CLASS", "")</f>
        <v>0</v>
      </c>
      <c r="F22" s="8">
        <f>IF(SUMPRODUCT((CoursesTable[Code]=$A$13)*(ISNUMBER(SEARCH("Fri",CoursesTable[Days])))*(CoursesTable[Times]=$A22)), "CLASS", "")</f>
        <v>0</v>
      </c>
    </row>
    <row r="23" spans="1:6">
      <c r="A23" s="8" t="s">
        <v>80</v>
      </c>
      <c r="B23" s="8">
        <f>IF(SUMPRODUCT((CoursesTable[Code]=$A$13)*(ISNUMBER(SEARCH("Mon",CoursesTable[Days])))*(CoursesTable[Times]=$A23)), "CLASS", "")</f>
        <v>0</v>
      </c>
      <c r="C23" s="8">
        <f>IF(SUMPRODUCT((CoursesTable[Code]=$A$13)*(ISNUMBER(SEARCH("Tue",CoursesTable[Days])))*(CoursesTable[Times]=$A23)), "CLASS", "")</f>
        <v>0</v>
      </c>
      <c r="D23" s="8">
        <f>IF(SUMPRODUCT((CoursesTable[Code]=$A$13)*(ISNUMBER(SEARCH("Wed",CoursesTable[Days])))*(CoursesTable[Times]=$A23)), "CLASS", "")</f>
        <v>0</v>
      </c>
      <c r="E23" s="8">
        <f>IF(SUMPRODUCT((CoursesTable[Code]=$A$13)*(ISNUMBER(SEARCH("Thu",CoursesTable[Days])))*(CoursesTable[Times]=$A23)), "CLASS", "")</f>
        <v>0</v>
      </c>
      <c r="F23" s="8">
        <f>IF(SUMPRODUCT((CoursesTable[Code]=$A$13)*(ISNUMBER(SEARCH("Fri",CoursesTable[Days])))*(CoursesTable[Times]=$A23)), "CLASS", "")</f>
        <v>0</v>
      </c>
    </row>
  </sheetData>
  <mergeCells count="1">
    <mergeCell ref="A1:G2"/>
  </mergeCells>
  <dataValidations count="1">
    <dataValidation type="list" allowBlank="1" showInputMessage="1" showErrorMessage="1" sqref="A13">
      <formula1>CoursesTable[Code]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Setup</vt:lpstr>
      <vt:lpstr>Courses</vt:lpstr>
      <vt:lpstr>Assignments</vt:lpstr>
      <vt:lpstr>Habits</vt:lpstr>
      <vt:lpstr>Books</vt:lpstr>
      <vt:lpstr>Calendar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2026-01-10T10:45:44Z</dcterms:created>
  <dcterms:modified xsi:type="dcterms:W3CDTF">2026-01-10T10:45:44Z</dcterms:modified>
</cp:coreProperties>
</file>