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Courses" sheetId="2" r:id="rId2"/>
    <sheet name="Assignments" sheetId="3" r:id="rId3"/>
    <sheet name="Habits" sheetId="4" r:id="rId4"/>
    <sheet name="Books" sheetId="5" r:id="rId5"/>
    <sheet name="Calendar" sheetId="6" r:id="rId6"/>
    <sheet name="Dashboard" sheetId="7" r:id="rId7"/>
  </sheets>
  <calcPr calcId="124519" fullCalcOnLoad="1"/>
</workbook>
</file>

<file path=xl/sharedStrings.xml><?xml version="1.0" encoding="utf-8"?>
<sst xmlns="http://schemas.openxmlformats.org/spreadsheetml/2006/main" count="132" uniqueCount="96">
  <si>
    <t>📋 Student Planner Configuration</t>
  </si>
  <si>
    <t>Semester Start</t>
  </si>
  <si>
    <t>Semester Name</t>
  </si>
  <si>
    <t>Spring 2026</t>
  </si>
  <si>
    <t>Institution</t>
  </si>
  <si>
    <t>IIT Kanpur</t>
  </si>
  <si>
    <t>QUICK NAVIGATION</t>
  </si>
  <si>
    <t>📊 Dashboard</t>
  </si>
  <si>
    <t>📚 Courses</t>
  </si>
  <si>
    <t>✅ Assignments</t>
  </si>
  <si>
    <t>📅 Calendar</t>
  </si>
  <si>
    <t>📖 Books</t>
  </si>
  <si>
    <t>🎯 Habits</t>
  </si>
  <si>
    <t>INSTRUCTIONS</t>
  </si>
  <si>
    <t>1. Update "Courses" sheet with your courses and schedule</t>
  </si>
  <si>
    <t>2. Add assignments in "Assignments" sheet</t>
  </si>
  <si>
    <t>3. Track daily habits in "Habits" sheet</t>
  </si>
  <si>
    <t>4. View overview in "Dashboard" sheet</t>
  </si>
  <si>
    <t>5. All formulas update automatically</t>
  </si>
  <si>
    <t>Code</t>
  </si>
  <si>
    <t>Name</t>
  </si>
  <si>
    <t>Credits</t>
  </si>
  <si>
    <t>Current</t>
  </si>
  <si>
    <t>Target</t>
  </si>
  <si>
    <t>Days</t>
  </si>
  <si>
    <t>Times</t>
  </si>
  <si>
    <t>CE612</t>
  </si>
  <si>
    <t>Fluid Mechanics</t>
  </si>
  <si>
    <t>Mon,Wed,Fri</t>
  </si>
  <si>
    <t>09:00</t>
  </si>
  <si>
    <t>CE613</t>
  </si>
  <si>
    <t>Computational Methods</t>
  </si>
  <si>
    <t>Tue,Thu</t>
  </si>
  <si>
    <t>10:00</t>
  </si>
  <si>
    <t>CE614</t>
  </si>
  <si>
    <t>Water Resources</t>
  </si>
  <si>
    <t>Mon,Wed</t>
  </si>
  <si>
    <t>14:00</t>
  </si>
  <si>
    <t>Progress</t>
  </si>
  <si>
    <t>✅ Assignment Tracker</t>
  </si>
  <si>
    <t>Assignment</t>
  </si>
  <si>
    <t>Course</t>
  </si>
  <si>
    <t>Type</t>
  </si>
  <si>
    <t>Due Date</t>
  </si>
  <si>
    <t>Status</t>
  </si>
  <si>
    <t>Grade</t>
  </si>
  <si>
    <t>Days Left</t>
  </si>
  <si>
    <t>Notes</t>
  </si>
  <si>
    <t>Hydraulics Lab Report</t>
  </si>
  <si>
    <t>Lab</t>
  </si>
  <si>
    <t>In Progress</t>
  </si>
  <si>
    <t>Complete analysis section</t>
  </si>
  <si>
    <t>CFD Project Proposal</t>
  </si>
  <si>
    <t>Project</t>
  </si>
  <si>
    <t>Pending</t>
  </si>
  <si>
    <t>Needs team approval</t>
  </si>
  <si>
    <t>Water Quality Assessment</t>
  </si>
  <si>
    <t>Fieldwork completed</t>
  </si>
  <si>
    <t>Computational Quiz</t>
  </si>
  <si>
    <t>Quiz</t>
  </si>
  <si>
    <t>Study notes ready</t>
  </si>
  <si>
    <t>🎯 Habit Tracker - 31 Day Month</t>
  </si>
  <si>
    <t>Study 2hrs</t>
  </si>
  <si>
    <t>Gym/Exercise</t>
  </si>
  <si>
    <t>Read 30min</t>
  </si>
  <si>
    <t>Sleep 8hrs</t>
  </si>
  <si>
    <t>Meditation</t>
  </si>
  <si>
    <t>Code Practice</t>
  </si>
  <si>
    <t>Score</t>
  </si>
  <si>
    <t>📖 Books Reading List</t>
  </si>
  <si>
    <t>Title</t>
  </si>
  <si>
    <t>Author</t>
  </si>
  <si>
    <t>Start Date</t>
  </si>
  <si>
    <t>Finish Date</t>
  </si>
  <si>
    <t>Rating</t>
  </si>
  <si>
    <t>Days Reading</t>
  </si>
  <si>
    <t>Fluids in Motion</t>
  </si>
  <si>
    <t>Joseph H. Spurk</t>
  </si>
  <si>
    <t>Reading</t>
  </si>
  <si>
    <t>The Elegant Universe</t>
  </si>
  <si>
    <t>Brian Greene</t>
  </si>
  <si>
    <t>Completed</t>
  </si>
  <si>
    <t>📅 Monthly Calendar</t>
  </si>
  <si>
    <t>Date</t>
  </si>
  <si>
    <t>Day</t>
  </si>
  <si>
    <t>Events Due</t>
  </si>
  <si>
    <t>🎓 Academic Dashboard - At a Glance</t>
  </si>
  <si>
    <t>QUICK STATS</t>
  </si>
  <si>
    <t>Average Grade</t>
  </si>
  <si>
    <t>Assignments Due</t>
  </si>
  <si>
    <t>Completed Habits</t>
  </si>
  <si>
    <t>Books Reading</t>
  </si>
  <si>
    <t>COURSE STATUS</t>
  </si>
  <si>
    <t>Gap</t>
  </si>
  <si>
    <t>UPCOMING DEADLINES</t>
  </si>
  <si>
    <t>Due In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</si>
</sst>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%"/>
    <numFmt numFmtId="166" formatCode="0.0"/>
  </numFmts>
  <fonts count="1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rgb="FF1A7A7A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084298"/>
      <name val="Calibri"/>
      <family val="2"/>
      <scheme val="minor"/>
    </font>
    <font>
      <b/>
      <sz val="11"/>
      <color rgb="FF856404"/>
      <name val="Calibri"/>
      <family val="2"/>
      <scheme val="minor"/>
    </font>
    <font>
      <b/>
      <sz val="10"/>
      <color rgb="FF1A7A7A"/>
      <name val="Calibri"/>
      <family val="2"/>
      <scheme val="minor"/>
    </font>
    <font>
      <b/>
      <sz val="11"/>
      <color rgb="FF0A3622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A7A7A"/>
        <bgColor indexed="64"/>
      </patternFill>
    </fill>
    <fill>
      <patternFill patternType="solid">
        <fgColor rgb="FFCFE2F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1E7DD"/>
        <bgColor indexed="64"/>
      </patternFill>
    </fill>
    <fill>
      <patternFill patternType="solid">
        <fgColor rgb="FF2A9A9A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1A7A7A"/>
      </left>
      <right style="thin">
        <color rgb="FF1A7A7A"/>
      </right>
      <top style="thin">
        <color rgb="FF1A7A7A"/>
      </top>
      <bottom style="thin">
        <color rgb="FF1A7A7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0" xfId="1" applyAlignment="1" applyProtection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66" fontId="10" fillId="7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b/>
        <color rgb="FFFFFFFF"/>
      </font>
      <fill>
        <patternFill>
          <bgColor rgb="FFE74C3C"/>
        </patternFill>
      </fill>
    </dxf>
    <dxf>
      <font>
        <color rgb="FFFFFFFF"/>
      </font>
      <fill>
        <patternFill>
          <bgColor rgb="FFF39C1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Current Grades by Course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Grade Distribution</c:v>
          </c:tx>
          <c:dPt>
            <c:idx val="0"/>
            <c:spPr>
              <a:solidFill>
                <a:srgbClr val="1A7A7A"/>
              </a:solidFill>
            </c:spPr>
          </c:dPt>
          <c:dPt>
            <c:idx val="1"/>
            <c:spPr>
              <a:solidFill>
                <a:srgbClr val="2A9A9A"/>
              </a:solidFill>
            </c:spPr>
          </c:dPt>
          <c:dPt>
            <c:idx val="2"/>
            <c:spPr>
              <a:solidFill>
                <a:srgbClr val="E85D75"/>
              </a:solidFill>
            </c:spPr>
          </c:dPt>
          <c:dLbls>
            <c:showVal val="1"/>
            <c:showPercent val="1"/>
          </c:dLbls>
          <c:cat>
            <c:numRef>
              <c:f>CoursesTable[Code]</c:f>
            </c:numRef>
          </c:cat>
          <c:val>
            <c:numRef>
              <c:f>CoursesTable[Current]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7</xdr:col>
      <xdr:colOff>1104900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ursesTable" displayName="CoursesTable" ref="A2:G50" totalsRowShown="0">
  <autoFilter ref="A2:G50"/>
  <tableColumns count="7">
    <tableColumn id="1" name="Code"/>
    <tableColumn id="2" name="Name"/>
    <tableColumn id="3" name="Credits"/>
    <tableColumn id="4" name="Current"/>
    <tableColumn id="5" name="Target"/>
    <tableColumn id="6" name="Days"/>
    <tableColumn id="7" name="Tim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AssignTable" displayName="AssignTable" ref="A2:H100" totalsRowShown="0">
  <autoFilter ref="A2:H100"/>
  <tableColumns count="8">
    <tableColumn id="1" name="Assignment"/>
    <tableColumn id="2" name="Course"/>
    <tableColumn id="3" name="Type"/>
    <tableColumn id="4" name="Due Date"/>
    <tableColumn id="5" name="Status"/>
    <tableColumn id="6" name="Grade"/>
    <tableColumn id="7" name="Days Left"/>
    <tableColumn id="8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BooksTable" displayName="BooksTable" ref="A2:G50" totalsRowShown="0">
  <autoFilter ref="A2:G50"/>
  <tableColumns count="7">
    <tableColumn id="1" name="Title"/>
    <tableColumn id="2" name="Author"/>
    <tableColumn id="3" name="Status"/>
    <tableColumn id="4" name="Start Date"/>
    <tableColumn id="5" name="Finish Date"/>
    <tableColumn id="6" name="Rating"/>
    <tableColumn id="7" name="Days Read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0.7109375" customWidth="1"/>
    <col min="2" max="6" width="18.7109375" customWidth="1"/>
  </cols>
  <sheetData>
    <row r="1" spans="1:6" ht="25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>
        <v>46032</v>
      </c>
    </row>
    <row r="4" spans="1:6">
      <c r="A4" s="2" t="s">
        <v>2</v>
      </c>
      <c r="B4" s="4" t="s">
        <v>3</v>
      </c>
    </row>
    <row r="5" spans="1:6">
      <c r="A5" s="2" t="s">
        <v>4</v>
      </c>
      <c r="B5" s="4" t="s">
        <v>5</v>
      </c>
    </row>
    <row r="8" spans="1:6">
      <c r="A8" s="2" t="s">
        <v>6</v>
      </c>
    </row>
    <row r="9" spans="1:6">
      <c r="A9" s="5" t="s">
        <v>7</v>
      </c>
    </row>
    <row r="10" spans="1:6">
      <c r="A10" s="5" t="s">
        <v>8</v>
      </c>
    </row>
    <row r="11" spans="1:6">
      <c r="A11" s="5" t="s">
        <v>9</v>
      </c>
    </row>
    <row r="12" spans="1:6">
      <c r="A12" s="5" t="s">
        <v>10</v>
      </c>
    </row>
    <row r="13" spans="1:6">
      <c r="A13" s="5" t="s">
        <v>11</v>
      </c>
    </row>
    <row r="14" spans="1:6">
      <c r="A14" s="5" t="s">
        <v>12</v>
      </c>
    </row>
    <row r="16" spans="1:6">
      <c r="A16" s="4" t="s">
        <v>14</v>
      </c>
    </row>
    <row r="17" spans="1:1">
      <c r="A17" s="4" t="s">
        <v>15</v>
      </c>
    </row>
    <row r="18" spans="1:1">
      <c r="A18" s="4" t="s">
        <v>16</v>
      </c>
    </row>
    <row r="19" spans="1:1">
      <c r="A19" s="4" t="s">
        <v>17</v>
      </c>
    </row>
    <row r="20" spans="1:1">
      <c r="A20" s="4" t="s">
        <v>18</v>
      </c>
    </row>
  </sheetData>
  <mergeCells count="1">
    <mergeCell ref="A1:F1"/>
  </mergeCells>
  <hyperlinks>
    <hyperlink ref="A9" location="'Dashboard!A1'" display="📊 Dashboard"/>
    <hyperlink ref="A10" location="'Courses!A1'" display="📚 Courses"/>
    <hyperlink ref="A11" location="'Assignments!A1'" display="✅ Assignments"/>
    <hyperlink ref="A12" location="'Calendar!A1'" display="📅 Calendar"/>
    <hyperlink ref="A13" location="'Books!A1'" display="📖 Books"/>
    <hyperlink ref="A14" location="'Habits!A1'" display="🎯 Habit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7" width="15.7109375" customWidth="1"/>
  </cols>
  <sheetData>
    <row r="1" spans="1:8" ht="25" customHeight="1">
      <c r="A1" s="1" t="s">
        <v>8</v>
      </c>
      <c r="B1" s="1"/>
      <c r="C1" s="1"/>
      <c r="D1" s="1"/>
      <c r="E1" s="1"/>
      <c r="F1" s="1"/>
      <c r="G1" s="1"/>
    </row>
    <row r="2" spans="1:8" ht="20" customHeight="1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6" t="s">
        <v>38</v>
      </c>
    </row>
    <row r="3" spans="1:8">
      <c r="A3" s="4" t="s">
        <v>26</v>
      </c>
      <c r="B3" s="4" t="s">
        <v>27</v>
      </c>
      <c r="C3" s="4">
        <v>4</v>
      </c>
      <c r="D3" s="7">
        <v>85</v>
      </c>
      <c r="E3" s="7">
        <v>90</v>
      </c>
      <c r="F3" s="4" t="s">
        <v>28</v>
      </c>
      <c r="G3" s="4" t="s">
        <v>29</v>
      </c>
      <c r="H3" s="7">
        <f>[@[Current]]-[@[Target]]</f>
        <v>0</v>
      </c>
    </row>
    <row r="4" spans="1:8">
      <c r="A4" s="4" t="s">
        <v>30</v>
      </c>
      <c r="B4" s="4" t="s">
        <v>31</v>
      </c>
      <c r="C4" s="4">
        <v>4</v>
      </c>
      <c r="D4" s="7">
        <v>78</v>
      </c>
      <c r="E4" s="7">
        <v>85</v>
      </c>
      <c r="F4" s="4" t="s">
        <v>32</v>
      </c>
      <c r="G4" s="4" t="s">
        <v>33</v>
      </c>
    </row>
    <row r="5" spans="1:8">
      <c r="A5" s="4" t="s">
        <v>34</v>
      </c>
      <c r="B5" s="4" t="s">
        <v>35</v>
      </c>
      <c r="C5" s="4">
        <v>3</v>
      </c>
      <c r="D5" s="7">
        <v>88</v>
      </c>
      <c r="E5" s="7">
        <v>92</v>
      </c>
      <c r="F5" s="4" t="s">
        <v>36</v>
      </c>
      <c r="G5" s="4" t="s">
        <v>37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8" width="16.7109375" customWidth="1"/>
  </cols>
  <sheetData>
    <row r="1" spans="1:8" ht="25" customHeight="1">
      <c r="A1" s="1" t="s">
        <v>39</v>
      </c>
      <c r="B1" s="1"/>
      <c r="C1" s="1"/>
      <c r="D1" s="1"/>
      <c r="E1" s="1"/>
      <c r="F1" s="1"/>
      <c r="G1" s="1"/>
      <c r="H1" s="1"/>
    </row>
    <row r="2" spans="1:8" ht="20" customHeight="1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4" t="s">
        <v>48</v>
      </c>
      <c r="B3" s="4" t="s">
        <v>26</v>
      </c>
      <c r="C3" s="7" t="s">
        <v>49</v>
      </c>
      <c r="D3" s="3">
        <v>46044</v>
      </c>
      <c r="E3" s="8" t="s">
        <v>50</v>
      </c>
      <c r="F3" s="7"/>
      <c r="G3" s="7">
        <f>IF(D3="","",D3-TODAY())</f>
        <v>0</v>
      </c>
      <c r="H3" s="4" t="s">
        <v>51</v>
      </c>
    </row>
    <row r="4" spans="1:8">
      <c r="A4" s="4" t="s">
        <v>52</v>
      </c>
      <c r="B4" s="4" t="s">
        <v>30</v>
      </c>
      <c r="C4" s="7" t="s">
        <v>53</v>
      </c>
      <c r="D4" s="3">
        <v>46047</v>
      </c>
      <c r="E4" s="9" t="s">
        <v>54</v>
      </c>
      <c r="F4" s="7"/>
      <c r="G4" s="7">
        <f>IF(D4="","",D4-TODAY())</f>
        <v>0</v>
      </c>
      <c r="H4" s="4" t="s">
        <v>55</v>
      </c>
    </row>
    <row r="5" spans="1:8">
      <c r="A5" s="4" t="s">
        <v>56</v>
      </c>
      <c r="B5" s="4" t="s">
        <v>34</v>
      </c>
      <c r="C5" s="7" t="s">
        <v>40</v>
      </c>
      <c r="D5" s="3">
        <v>46040</v>
      </c>
      <c r="E5" s="8" t="s">
        <v>50</v>
      </c>
      <c r="F5" s="7"/>
      <c r="G5" s="7">
        <f>IF(D5="","",D5-TODAY())</f>
        <v>0</v>
      </c>
      <c r="H5" s="4" t="s">
        <v>57</v>
      </c>
    </row>
    <row r="6" spans="1:8">
      <c r="A6" s="4" t="s">
        <v>58</v>
      </c>
      <c r="B6" s="4" t="s">
        <v>30</v>
      </c>
      <c r="C6" s="7" t="s">
        <v>59</v>
      </c>
      <c r="D6" s="3">
        <v>46037</v>
      </c>
      <c r="E6" s="9" t="s">
        <v>54</v>
      </c>
      <c r="F6" s="7"/>
      <c r="G6" s="7">
        <f>IF(D6="","",D6-TODAY())</f>
        <v>0</v>
      </c>
      <c r="H6" s="4" t="s">
        <v>60</v>
      </c>
    </row>
  </sheetData>
  <mergeCells count="1">
    <mergeCell ref="A1:H1"/>
  </mergeCells>
  <conditionalFormatting sqref="D3:D100">
    <cfRule type="expression" dxfId="0" priority="1">
      <formula>AND(D3&lt;&gt;"", D3&lt;TODAY())</formula>
    </cfRule>
  </conditionalFormatting>
  <conditionalFormatting sqref="G3:G100">
    <cfRule type="expression" dxfId="1" priority="2">
      <formula>AND(G3&lt;&gt;"", G3&lt;=3, G3&gt;=0)</formula>
    </cfRule>
  </conditionalFormatting>
  <dataValidations count="2">
    <dataValidation type="list" allowBlank="1" showInputMessage="1" showErrorMessage="1" sqref="C3:C100">
      <formula1>"Quiz,Exam,Homework,Lab,Project,Assignment"</formula1>
    </dataValidation>
    <dataValidation type="list" allowBlank="1" showInputMessage="1" showErrorMessage="1" sqref="E3:E100">
      <formula1>"Pending,In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sheetFormatPr defaultRowHeight="15"/>
  <cols>
    <col min="1" max="32" width="5.7109375" customWidth="1"/>
    <col min="33" max="33" width="10.7109375" customWidth="1"/>
  </cols>
  <sheetData>
    <row r="1" spans="1:33" ht="25" customHeight="1">
      <c r="A1" s="1" t="s">
        <v>61</v>
      </c>
      <c r="B1" s="6">
        <f>Setup!$B$3 + 0</f>
        <v>0</v>
      </c>
      <c r="C1" s="6">
        <f>Setup!$B$3 + 1</f>
        <v>0</v>
      </c>
      <c r="D1" s="6">
        <f>Setup!$B$3 + 2</f>
        <v>0</v>
      </c>
      <c r="E1" s="6">
        <f>Setup!$B$3 + 3</f>
        <v>0</v>
      </c>
      <c r="F1" s="6">
        <f>Setup!$B$3 + 4</f>
        <v>0</v>
      </c>
      <c r="G1" s="6">
        <f>Setup!$B$3 + 5</f>
        <v>0</v>
      </c>
      <c r="H1" s="6">
        <f>Setup!$B$3 + 6</f>
        <v>0</v>
      </c>
      <c r="I1" s="6">
        <f>Setup!$B$3 + 7</f>
        <v>0</v>
      </c>
      <c r="J1" s="6">
        <f>Setup!$B$3 + 8</f>
        <v>0</v>
      </c>
      <c r="K1" s="6">
        <f>Setup!$B$3 + 9</f>
        <v>0</v>
      </c>
      <c r="L1" s="6">
        <f>Setup!$B$3 + 10</f>
        <v>0</v>
      </c>
      <c r="M1" s="6">
        <f>Setup!$B$3 + 11</f>
        <v>0</v>
      </c>
      <c r="N1" s="6">
        <f>Setup!$B$3 + 12</f>
        <v>0</v>
      </c>
      <c r="O1" s="6">
        <f>Setup!$B$3 + 13</f>
        <v>0</v>
      </c>
      <c r="P1" s="6">
        <f>Setup!$B$3 + 14</f>
        <v>0</v>
      </c>
      <c r="Q1" s="6">
        <f>Setup!$B$3 + 15</f>
        <v>0</v>
      </c>
      <c r="R1" s="6">
        <f>Setup!$B$3 + 16</f>
        <v>0</v>
      </c>
      <c r="S1" s="6">
        <f>Setup!$B$3 + 17</f>
        <v>0</v>
      </c>
      <c r="T1" s="6">
        <f>Setup!$B$3 + 18</f>
        <v>0</v>
      </c>
      <c r="U1" s="6">
        <f>Setup!$B$3 + 19</f>
        <v>0</v>
      </c>
      <c r="V1" s="6">
        <f>Setup!$B$3 + 20</f>
        <v>0</v>
      </c>
      <c r="W1" s="6">
        <f>Setup!$B$3 + 21</f>
        <v>0</v>
      </c>
      <c r="X1" s="6">
        <f>Setup!$B$3 + 22</f>
        <v>0</v>
      </c>
      <c r="Y1" s="6">
        <f>Setup!$B$3 + 23</f>
        <v>0</v>
      </c>
      <c r="Z1" s="6">
        <f>Setup!$B$3 + 24</f>
        <v>0</v>
      </c>
      <c r="AA1" s="6">
        <f>Setup!$B$3 + 25</f>
        <v>0</v>
      </c>
      <c r="AB1" s="6">
        <f>Setup!$B$3 + 26</f>
        <v>0</v>
      </c>
      <c r="AC1" s="6">
        <f>Setup!$B$3 + 27</f>
        <v>0</v>
      </c>
      <c r="AD1" s="6">
        <f>Setup!$B$3 + 28</f>
        <v>0</v>
      </c>
      <c r="AE1" s="6">
        <f>Setup!$B$3 + 29</f>
        <v>0</v>
      </c>
      <c r="AF1" s="6">
        <f>Setup!$B$3 + 30</f>
        <v>0</v>
      </c>
      <c r="AG1" s="6" t="s">
        <v>68</v>
      </c>
    </row>
    <row r="2" spans="1:33">
      <c r="A2" s="10" t="s">
        <v>62</v>
      </c>
      <c r="AG2" s="11">
        <f>COUNTIF(B2:AF2,"✓")/31</f>
        <v>0</v>
      </c>
    </row>
    <row r="3" spans="1:33">
      <c r="A3" s="10" t="s">
        <v>63</v>
      </c>
      <c r="AG3" s="11">
        <f>COUNTIF(B3:AF3,"✓")/31</f>
        <v>0</v>
      </c>
    </row>
    <row r="4" spans="1:33">
      <c r="A4" s="10" t="s">
        <v>64</v>
      </c>
      <c r="AG4" s="11">
        <f>COUNTIF(B4:AF4,"✓")/31</f>
        <v>0</v>
      </c>
    </row>
    <row r="5" spans="1:33">
      <c r="A5" s="10" t="s">
        <v>65</v>
      </c>
      <c r="AG5" s="11">
        <f>COUNTIF(B5:AF5,"✓")/31</f>
        <v>0</v>
      </c>
    </row>
    <row r="6" spans="1:33">
      <c r="A6" s="10" t="s">
        <v>66</v>
      </c>
      <c r="AG6" s="11">
        <f>COUNTIF(B6:AF6,"✓")/31</f>
        <v>0</v>
      </c>
    </row>
    <row r="7" spans="1:33">
      <c r="A7" s="10" t="s">
        <v>67</v>
      </c>
      <c r="AG7" s="11">
        <f>COUNTIF(B7:AF7,"✓")/31</f>
        <v>0</v>
      </c>
    </row>
  </sheetData>
  <mergeCells count="1">
    <mergeCell ref="A1:AF1"/>
  </mergeCells>
  <dataValidations count="1">
    <dataValidation type="list" allowBlank="1" showInputMessage="1" showErrorMessage="1" sqref="B2:AF31">
      <formula1>"✓,"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7" width="16.7109375" customWidth="1"/>
  </cols>
  <sheetData>
    <row r="1" spans="1:7" ht="25" customHeight="1">
      <c r="A1" s="1" t="s">
        <v>69</v>
      </c>
      <c r="B1" s="1"/>
      <c r="C1" s="1"/>
      <c r="D1" s="1"/>
      <c r="E1" s="1"/>
      <c r="F1" s="1"/>
      <c r="G1" s="1"/>
    </row>
    <row r="2" spans="1:7" ht="20" customHeight="1">
      <c r="A2" t="s">
        <v>70</v>
      </c>
      <c r="B2" t="s">
        <v>71</v>
      </c>
      <c r="C2" t="s">
        <v>44</v>
      </c>
      <c r="D2" t="s">
        <v>72</v>
      </c>
      <c r="E2" t="s">
        <v>73</v>
      </c>
      <c r="F2" t="s">
        <v>74</v>
      </c>
      <c r="G2" t="s">
        <v>75</v>
      </c>
    </row>
    <row r="3" spans="1:7">
      <c r="A3" s="4" t="s">
        <v>76</v>
      </c>
      <c r="B3" s="4" t="s">
        <v>77</v>
      </c>
      <c r="C3" s="8" t="s">
        <v>78</v>
      </c>
      <c r="D3" s="3">
        <v>46006</v>
      </c>
      <c r="E3" s="4"/>
      <c r="F3" s="7"/>
      <c r="G3" s="7">
        <f>IF(D3="","",IF(E3&lt;&gt;"",E3-D3,TODAY()-D3))</f>
        <v>0</v>
      </c>
    </row>
    <row r="4" spans="1:7">
      <c r="A4" s="4" t="s">
        <v>79</v>
      </c>
      <c r="B4" s="4" t="s">
        <v>80</v>
      </c>
      <c r="C4" s="12" t="s">
        <v>81</v>
      </c>
      <c r="D4" s="3">
        <v>45931</v>
      </c>
      <c r="E4" s="3">
        <v>46001</v>
      </c>
      <c r="F4" s="7">
        <v>5</v>
      </c>
      <c r="G4" s="7">
        <f>IF(D4="","",IF(E4&lt;&gt;"",E4-D4,TODAY()-D4))</f>
        <v>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2" width="12.7109375" customWidth="1"/>
    <col min="3" max="3" width="40.7109375" customWidth="1"/>
  </cols>
  <sheetData>
    <row r="1" spans="1:3" ht="25" customHeight="1">
      <c r="A1" s="1" t="s">
        <v>82</v>
      </c>
      <c r="B1" s="1"/>
      <c r="C1" s="1"/>
    </row>
    <row r="2" spans="1:3" ht="20" customHeight="1">
      <c r="A2" s="6" t="s">
        <v>83</v>
      </c>
      <c r="B2" s="6" t="s">
        <v>84</v>
      </c>
      <c r="C2" s="6" t="s">
        <v>85</v>
      </c>
    </row>
    <row r="3" spans="1:3">
      <c r="A3" s="7">
        <v>1</v>
      </c>
      <c r="B3" s="7">
        <f>TEXT(=DATE(YEAR(Setup!$B$3), MONTH(Setup!$B$3), A2), "ddd")</f>
        <v>0</v>
      </c>
      <c r="C3" s="4">
        <f>IFERROR(TEXTJOIN(", ",TRUE,IF(DAY(AssignTable[Due Date])=A2,AssignTable[Assignment]&amp;" ("&amp;AssignTable[Type]&amp;")","")),"")</f>
        <v>0</v>
      </c>
    </row>
    <row r="4" spans="1:3">
      <c r="A4" s="7">
        <v>2</v>
      </c>
      <c r="B4" s="7">
        <f>TEXT(=DATE(YEAR(Setup!$B$3), MONTH(Setup!$B$3), A3), "ddd")</f>
        <v>0</v>
      </c>
      <c r="C4" s="4">
        <f>IFERROR(TEXTJOIN(", ",TRUE,IF(DAY(AssignTable[Due Date])=A3,AssignTable[Assignment]&amp;" ("&amp;AssignTable[Type]&amp;")","")),"")</f>
        <v>0</v>
      </c>
    </row>
    <row r="5" spans="1:3">
      <c r="A5" s="7">
        <v>3</v>
      </c>
      <c r="B5" s="7">
        <f>TEXT(=DATE(YEAR(Setup!$B$3), MONTH(Setup!$B$3), A4), "ddd")</f>
        <v>0</v>
      </c>
      <c r="C5" s="4">
        <f>IFERROR(TEXTJOIN(", ",TRUE,IF(DAY(AssignTable[Due Date])=A4,AssignTable[Assignment]&amp;" ("&amp;AssignTable[Type]&amp;")","")),"")</f>
        <v>0</v>
      </c>
    </row>
    <row r="6" spans="1:3">
      <c r="A6" s="7">
        <v>4</v>
      </c>
      <c r="B6" s="7">
        <f>TEXT(=DATE(YEAR(Setup!$B$3), MONTH(Setup!$B$3), A5), "ddd")</f>
        <v>0</v>
      </c>
      <c r="C6" s="4">
        <f>IFERROR(TEXTJOIN(", ",TRUE,IF(DAY(AssignTable[Due Date])=A5,AssignTable[Assignment]&amp;" ("&amp;AssignTable[Type]&amp;")","")),"")</f>
        <v>0</v>
      </c>
    </row>
    <row r="7" spans="1:3">
      <c r="A7" s="7">
        <v>5</v>
      </c>
      <c r="B7" s="7">
        <f>TEXT(=DATE(YEAR(Setup!$B$3), MONTH(Setup!$B$3), A6), "ddd")</f>
        <v>0</v>
      </c>
      <c r="C7" s="4">
        <f>IFERROR(TEXTJOIN(", ",TRUE,IF(DAY(AssignTable[Due Date])=A6,AssignTable[Assignment]&amp;" ("&amp;AssignTable[Type]&amp;")","")),"")</f>
        <v>0</v>
      </c>
    </row>
    <row r="8" spans="1:3">
      <c r="A8" s="7">
        <v>6</v>
      </c>
      <c r="B8" s="7">
        <f>TEXT(=DATE(YEAR(Setup!$B$3), MONTH(Setup!$B$3), A7), "ddd")</f>
        <v>0</v>
      </c>
      <c r="C8" s="4">
        <f>IFERROR(TEXTJOIN(", ",TRUE,IF(DAY(AssignTable[Due Date])=A7,AssignTable[Assignment]&amp;" ("&amp;AssignTable[Type]&amp;")","")),"")</f>
        <v>0</v>
      </c>
    </row>
    <row r="9" spans="1:3">
      <c r="A9" s="7">
        <v>7</v>
      </c>
      <c r="B9" s="7">
        <f>TEXT(=DATE(YEAR(Setup!$B$3), MONTH(Setup!$B$3), A8), "ddd")</f>
        <v>0</v>
      </c>
      <c r="C9" s="4">
        <f>IFERROR(TEXTJOIN(", ",TRUE,IF(DAY(AssignTable[Due Date])=A8,AssignTable[Assignment]&amp;" ("&amp;AssignTable[Type]&amp;")","")),"")</f>
        <v>0</v>
      </c>
    </row>
    <row r="10" spans="1:3">
      <c r="A10" s="7">
        <v>8</v>
      </c>
      <c r="B10" s="7">
        <f>TEXT(=DATE(YEAR(Setup!$B$3), MONTH(Setup!$B$3), A9), "ddd")</f>
        <v>0</v>
      </c>
      <c r="C10" s="4">
        <f>IFERROR(TEXTJOIN(", ",TRUE,IF(DAY(AssignTable[Due Date])=A9,AssignTable[Assignment]&amp;" ("&amp;AssignTable[Type]&amp;")","")),"")</f>
        <v>0</v>
      </c>
    </row>
    <row r="11" spans="1:3">
      <c r="A11" s="7">
        <v>9</v>
      </c>
      <c r="B11" s="7">
        <f>TEXT(=DATE(YEAR(Setup!$B$3), MONTH(Setup!$B$3), A10), "ddd")</f>
        <v>0</v>
      </c>
      <c r="C11" s="4">
        <f>IFERROR(TEXTJOIN(", ",TRUE,IF(DAY(AssignTable[Due Date])=A10,AssignTable[Assignment]&amp;" ("&amp;AssignTable[Type]&amp;")","")),"")</f>
        <v>0</v>
      </c>
    </row>
    <row r="12" spans="1:3">
      <c r="A12" s="7">
        <v>10</v>
      </c>
      <c r="B12" s="7">
        <f>TEXT(=DATE(YEAR(Setup!$B$3), MONTH(Setup!$B$3), A11), "ddd")</f>
        <v>0</v>
      </c>
      <c r="C12" s="4">
        <f>IFERROR(TEXTJOIN(", ",TRUE,IF(DAY(AssignTable[Due Date])=A11,AssignTable[Assignment]&amp;" ("&amp;AssignTable[Type]&amp;")","")),"")</f>
        <v>0</v>
      </c>
    </row>
    <row r="13" spans="1:3">
      <c r="A13" s="7">
        <v>11</v>
      </c>
      <c r="B13" s="7">
        <f>TEXT(=DATE(YEAR(Setup!$B$3), MONTH(Setup!$B$3), A12), "ddd")</f>
        <v>0</v>
      </c>
      <c r="C13" s="4">
        <f>IFERROR(TEXTJOIN(", ",TRUE,IF(DAY(AssignTable[Due Date])=A12,AssignTable[Assignment]&amp;" ("&amp;AssignTable[Type]&amp;")","")),"")</f>
        <v>0</v>
      </c>
    </row>
    <row r="14" spans="1:3">
      <c r="A14" s="7">
        <v>12</v>
      </c>
      <c r="B14" s="7">
        <f>TEXT(=DATE(YEAR(Setup!$B$3), MONTH(Setup!$B$3), A13), "ddd")</f>
        <v>0</v>
      </c>
      <c r="C14" s="4">
        <f>IFERROR(TEXTJOIN(", ",TRUE,IF(DAY(AssignTable[Due Date])=A13,AssignTable[Assignment]&amp;" ("&amp;AssignTable[Type]&amp;")","")),"")</f>
        <v>0</v>
      </c>
    </row>
    <row r="15" spans="1:3">
      <c r="A15" s="7">
        <v>13</v>
      </c>
      <c r="B15" s="7">
        <f>TEXT(=DATE(YEAR(Setup!$B$3), MONTH(Setup!$B$3), A14), "ddd")</f>
        <v>0</v>
      </c>
      <c r="C15" s="4">
        <f>IFERROR(TEXTJOIN(", ",TRUE,IF(DAY(AssignTable[Due Date])=A14,AssignTable[Assignment]&amp;" ("&amp;AssignTable[Type]&amp;")","")),"")</f>
        <v>0</v>
      </c>
    </row>
    <row r="16" spans="1:3">
      <c r="A16" s="7">
        <v>14</v>
      </c>
      <c r="B16" s="7">
        <f>TEXT(=DATE(YEAR(Setup!$B$3), MONTH(Setup!$B$3), A15), "ddd")</f>
        <v>0</v>
      </c>
      <c r="C16" s="4">
        <f>IFERROR(TEXTJOIN(", ",TRUE,IF(DAY(AssignTable[Due Date])=A15,AssignTable[Assignment]&amp;" ("&amp;AssignTable[Type]&amp;")","")),"")</f>
        <v>0</v>
      </c>
    </row>
    <row r="17" spans="1:3">
      <c r="A17" s="7">
        <v>15</v>
      </c>
      <c r="B17" s="7">
        <f>TEXT(=DATE(YEAR(Setup!$B$3), MONTH(Setup!$B$3), A16), "ddd")</f>
        <v>0</v>
      </c>
      <c r="C17" s="4">
        <f>IFERROR(TEXTJOIN(", ",TRUE,IF(DAY(AssignTable[Due Date])=A16,AssignTable[Assignment]&amp;" ("&amp;AssignTable[Type]&amp;")","")),"")</f>
        <v>0</v>
      </c>
    </row>
    <row r="18" spans="1:3">
      <c r="A18" s="7">
        <v>16</v>
      </c>
      <c r="B18" s="7">
        <f>TEXT(=DATE(YEAR(Setup!$B$3), MONTH(Setup!$B$3), A17), "ddd")</f>
        <v>0</v>
      </c>
      <c r="C18" s="4">
        <f>IFERROR(TEXTJOIN(", ",TRUE,IF(DAY(AssignTable[Due Date])=A17,AssignTable[Assignment]&amp;" ("&amp;AssignTable[Type]&amp;")","")),"")</f>
        <v>0</v>
      </c>
    </row>
    <row r="19" spans="1:3">
      <c r="A19" s="7">
        <v>17</v>
      </c>
      <c r="B19" s="7">
        <f>TEXT(=DATE(YEAR(Setup!$B$3), MONTH(Setup!$B$3), A18), "ddd")</f>
        <v>0</v>
      </c>
      <c r="C19" s="4">
        <f>IFERROR(TEXTJOIN(", ",TRUE,IF(DAY(AssignTable[Due Date])=A18,AssignTable[Assignment]&amp;" ("&amp;AssignTable[Type]&amp;")","")),"")</f>
        <v>0</v>
      </c>
    </row>
    <row r="20" spans="1:3">
      <c r="A20" s="7">
        <v>18</v>
      </c>
      <c r="B20" s="7">
        <f>TEXT(=DATE(YEAR(Setup!$B$3), MONTH(Setup!$B$3), A19), "ddd")</f>
        <v>0</v>
      </c>
      <c r="C20" s="4">
        <f>IFERROR(TEXTJOIN(", ",TRUE,IF(DAY(AssignTable[Due Date])=A19,AssignTable[Assignment]&amp;" ("&amp;AssignTable[Type]&amp;")","")),"")</f>
        <v>0</v>
      </c>
    </row>
    <row r="21" spans="1:3">
      <c r="A21" s="7">
        <v>19</v>
      </c>
      <c r="B21" s="7">
        <f>TEXT(=DATE(YEAR(Setup!$B$3), MONTH(Setup!$B$3), A20), "ddd")</f>
        <v>0</v>
      </c>
      <c r="C21" s="4">
        <f>IFERROR(TEXTJOIN(", ",TRUE,IF(DAY(AssignTable[Due Date])=A20,AssignTable[Assignment]&amp;" ("&amp;AssignTable[Type]&amp;")","")),"")</f>
        <v>0</v>
      </c>
    </row>
    <row r="22" spans="1:3">
      <c r="A22" s="7">
        <v>20</v>
      </c>
      <c r="B22" s="7">
        <f>TEXT(=DATE(YEAR(Setup!$B$3), MONTH(Setup!$B$3), A21), "ddd")</f>
        <v>0</v>
      </c>
      <c r="C22" s="4">
        <f>IFERROR(TEXTJOIN(", ",TRUE,IF(DAY(AssignTable[Due Date])=A21,AssignTable[Assignment]&amp;" ("&amp;AssignTable[Type]&amp;")","")),"")</f>
        <v>0</v>
      </c>
    </row>
    <row r="23" spans="1:3">
      <c r="A23" s="7">
        <v>21</v>
      </c>
      <c r="B23" s="7">
        <f>TEXT(=DATE(YEAR(Setup!$B$3), MONTH(Setup!$B$3), A22), "ddd")</f>
        <v>0</v>
      </c>
      <c r="C23" s="4">
        <f>IFERROR(TEXTJOIN(", ",TRUE,IF(DAY(AssignTable[Due Date])=A22,AssignTable[Assignment]&amp;" ("&amp;AssignTable[Type]&amp;")","")),"")</f>
        <v>0</v>
      </c>
    </row>
    <row r="24" spans="1:3">
      <c r="A24" s="7">
        <v>22</v>
      </c>
      <c r="B24" s="7">
        <f>TEXT(=DATE(YEAR(Setup!$B$3), MONTH(Setup!$B$3), A23), "ddd")</f>
        <v>0</v>
      </c>
      <c r="C24" s="4">
        <f>IFERROR(TEXTJOIN(", ",TRUE,IF(DAY(AssignTable[Due Date])=A23,AssignTable[Assignment]&amp;" ("&amp;AssignTable[Type]&amp;")","")),"")</f>
        <v>0</v>
      </c>
    </row>
    <row r="25" spans="1:3">
      <c r="A25" s="7">
        <v>23</v>
      </c>
      <c r="B25" s="7">
        <f>TEXT(=DATE(YEAR(Setup!$B$3), MONTH(Setup!$B$3), A24), "ddd")</f>
        <v>0</v>
      </c>
      <c r="C25" s="4">
        <f>IFERROR(TEXTJOIN(", ",TRUE,IF(DAY(AssignTable[Due Date])=A24,AssignTable[Assignment]&amp;" ("&amp;AssignTable[Type]&amp;")","")),"")</f>
        <v>0</v>
      </c>
    </row>
    <row r="26" spans="1:3">
      <c r="A26" s="7">
        <v>24</v>
      </c>
      <c r="B26" s="7">
        <f>TEXT(=DATE(YEAR(Setup!$B$3), MONTH(Setup!$B$3), A25), "ddd")</f>
        <v>0</v>
      </c>
      <c r="C26" s="4">
        <f>IFERROR(TEXTJOIN(", ",TRUE,IF(DAY(AssignTable[Due Date])=A25,AssignTable[Assignment]&amp;" ("&amp;AssignTable[Type]&amp;")","")),"")</f>
        <v>0</v>
      </c>
    </row>
    <row r="27" spans="1:3">
      <c r="A27" s="7">
        <v>25</v>
      </c>
      <c r="B27" s="7">
        <f>TEXT(=DATE(YEAR(Setup!$B$3), MONTH(Setup!$B$3), A26), "ddd")</f>
        <v>0</v>
      </c>
      <c r="C27" s="4">
        <f>IFERROR(TEXTJOIN(", ",TRUE,IF(DAY(AssignTable[Due Date])=A26,AssignTable[Assignment]&amp;" ("&amp;AssignTable[Type]&amp;")","")),"")</f>
        <v>0</v>
      </c>
    </row>
    <row r="28" spans="1:3">
      <c r="A28" s="7">
        <v>26</v>
      </c>
      <c r="B28" s="7">
        <f>TEXT(=DATE(YEAR(Setup!$B$3), MONTH(Setup!$B$3), A27), "ddd")</f>
        <v>0</v>
      </c>
      <c r="C28" s="4">
        <f>IFERROR(TEXTJOIN(", ",TRUE,IF(DAY(AssignTable[Due Date])=A27,AssignTable[Assignment]&amp;" ("&amp;AssignTable[Type]&amp;")","")),"")</f>
        <v>0</v>
      </c>
    </row>
    <row r="29" spans="1:3">
      <c r="A29" s="7">
        <v>27</v>
      </c>
      <c r="B29" s="7">
        <f>TEXT(=DATE(YEAR(Setup!$B$3), MONTH(Setup!$B$3), A28), "ddd")</f>
        <v>0</v>
      </c>
      <c r="C29" s="4">
        <f>IFERROR(TEXTJOIN(", ",TRUE,IF(DAY(AssignTable[Due Date])=A28,AssignTable[Assignment]&amp;" ("&amp;AssignTable[Type]&amp;")","")),"")</f>
        <v>0</v>
      </c>
    </row>
    <row r="30" spans="1:3">
      <c r="A30" s="7">
        <v>28</v>
      </c>
      <c r="B30" s="7">
        <f>TEXT(=DATE(YEAR(Setup!$B$3), MONTH(Setup!$B$3), A29), "ddd")</f>
        <v>0</v>
      </c>
      <c r="C30" s="4">
        <f>IFERROR(TEXTJOIN(", ",TRUE,IF(DAY(AssignTable[Due Date])=A29,AssignTable[Assignment]&amp;" ("&amp;AssignTable[Type]&amp;")","")),"")</f>
        <v>0</v>
      </c>
    </row>
    <row r="31" spans="1:3">
      <c r="A31" s="7">
        <v>29</v>
      </c>
      <c r="B31" s="7">
        <f>TEXT(=DATE(YEAR(Setup!$B$3), MONTH(Setup!$B$3), A30), "ddd")</f>
        <v>0</v>
      </c>
      <c r="C31" s="4">
        <f>IFERROR(TEXTJOIN(", ",TRUE,IF(DAY(AssignTable[Due Date])=A30,AssignTable[Assignment]&amp;" ("&amp;AssignTable[Type]&amp;")","")),"")</f>
        <v>0</v>
      </c>
    </row>
    <row r="32" spans="1:3">
      <c r="A32" s="7">
        <v>30</v>
      </c>
      <c r="B32" s="7">
        <f>TEXT(=DATE(YEAR(Setup!$B$3), MONTH(Setup!$B$3), A31), "ddd")</f>
        <v>0</v>
      </c>
      <c r="C32" s="4">
        <f>IFERROR(TEXTJOIN(", ",TRUE,IF(DAY(AssignTable[Due Date])=A31,AssignTable[Assignment]&amp;" ("&amp;AssignTable[Type]&amp;")","")),"")</f>
        <v>0</v>
      </c>
    </row>
    <row r="33" spans="1:3">
      <c r="A33" s="7">
        <v>31</v>
      </c>
      <c r="B33" s="7">
        <f>TEXT(=DATE(YEAR(Setup!$B$3), MONTH(Setup!$B$3), A32), "ddd")</f>
        <v>0</v>
      </c>
      <c r="C33" s="4">
        <f>IFERROR(TEXTJOIN(", ",TRUE,IF(DAY(AssignTable[Due Date])=A32,AssignTable[Assignment]&amp;" ("&amp;AssignTable[Type]&amp;")","")),"")</f>
        <v>0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8" width="16.7109375" customWidth="1"/>
  </cols>
  <sheetData>
    <row r="1" spans="1:8" ht="30" customHeight="1">
      <c r="A1" s="1" t="s">
        <v>86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87</v>
      </c>
      <c r="F4" s="2" t="s">
        <v>94</v>
      </c>
    </row>
    <row r="5" spans="1:8">
      <c r="A5" s="10" t="s">
        <v>88</v>
      </c>
      <c r="B5" s="13">
        <f>IFERROR(AVERAGE(CoursesTable[Current]),0)</f>
        <v>0</v>
      </c>
      <c r="F5" s="6" t="s">
        <v>40</v>
      </c>
      <c r="G5" s="6" t="s">
        <v>95</v>
      </c>
      <c r="H5" s="6" t="s">
        <v>44</v>
      </c>
    </row>
    <row r="6" spans="1:8">
      <c r="A6" s="10" t="s">
        <v>89</v>
      </c>
      <c r="B6" s="13">
        <f>COUNTIFS(AssignTable[Status],"Pending",AssignTable[Due Date],"&lt;="&amp;TODAY()+7)</f>
        <v>0</v>
      </c>
      <c r="F6" s="4">
        <f>IFERROR(INDEX(AssignTable[Assignment],SMALL(IF(AssignTable[Days Left]&gt;0,ROW(AssignTable[Days Left])-ROW(INDEX(AssignTable,1,1))+1),ROW(A1))),"")</f>
        <v>0</v>
      </c>
      <c r="G6" s="7">
        <f>IFERROR(INDEX(AssignTable[Days Left],SMALL(IF(AssignTable[Days Left]&gt;0,ROW(AssignTable[Days Left])-ROW(INDEX(AssignTable,1,1))+1),ROW(A1))),"")</f>
        <v>0</v>
      </c>
      <c r="H6" s="7">
        <f>IFERROR(INDEX(AssignTable[Status],SMALL(IF(AssignTable[Days Left]&gt;0,ROW(AssignTable[Days Left])-ROW(INDEX(AssignTable,1,1))+1),ROW(A1))),"")</f>
        <v>0</v>
      </c>
    </row>
    <row r="7" spans="1:8">
      <c r="A7" s="10" t="s">
        <v>90</v>
      </c>
      <c r="B7" s="11">
        <f>IFERROR(AVERAGE(Habits!AG:AG),0)</f>
        <v>0</v>
      </c>
    </row>
    <row r="8" spans="1:8">
      <c r="A8" s="10" t="s">
        <v>91</v>
      </c>
      <c r="B8" s="13">
        <f>COUNTIF(Books!C:C,"Reading")</f>
        <v>0</v>
      </c>
    </row>
    <row r="11" spans="1:8">
      <c r="A11" s="2" t="s">
        <v>92</v>
      </c>
    </row>
    <row r="12" spans="1:8" ht="20" customHeight="1">
      <c r="A12" s="6" t="s">
        <v>41</v>
      </c>
      <c r="B12" s="6" t="s">
        <v>22</v>
      </c>
      <c r="C12" s="6" t="s">
        <v>23</v>
      </c>
      <c r="D12" s="6" t="s">
        <v>93</v>
      </c>
    </row>
    <row r="13" spans="1:8">
      <c r="A13" s="4">
        <f>INDEX(CoursesTable[Code],ROW()-12)</f>
        <v>0</v>
      </c>
      <c r="B13" s="7">
        <f>INDEX(CoursesTable[Current],ROW()-12)</f>
        <v>0</v>
      </c>
      <c r="C13" s="7">
        <f>INDEX(CoursesTable[Target],ROW()-12)</f>
        <v>0</v>
      </c>
      <c r="D13" s="7">
        <f>IF(B13="","",B13-C13)</f>
        <v>0</v>
      </c>
    </row>
  </sheetData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Setup</vt:lpstr>
      <vt:lpstr>Courses</vt:lpstr>
      <vt:lpstr>Assignments</vt:lpstr>
      <vt:lpstr>Habits</vt:lpstr>
      <vt:lpstr>Books</vt:lpstr>
      <vt:lpstr>Calendar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2026-01-10T10:53:56Z</dcterms:created>
  <dcterms:modified xsi:type="dcterms:W3CDTF">2026-01-10T10:53:56Z</dcterms:modified>
</cp:coreProperties>
</file>